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210" activeTab="1"/>
  </bookViews>
  <sheets>
    <sheet name="Bandes" sheetId="1" r:id="rId1"/>
    <sheet name="Conventions" sheetId="2" r:id="rId2"/>
    <sheet name="Recap" sheetId="3" r:id="rId3"/>
  </sheets>
  <definedNames>
    <definedName name="_xlnm.Print_Area" localSheetId="0">Bandes!$A$4:$I$48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Q3618" i="3" l="1"/>
  <c r="J3617" i="3"/>
  <c r="K3616" i="3"/>
  <c r="K3615" i="3"/>
  <c r="K3612" i="3"/>
  <c r="I3612" i="3"/>
  <c r="M3602" i="3"/>
  <c r="M3604" i="3" s="1"/>
  <c r="O3601" i="3"/>
  <c r="O3599" i="3"/>
  <c r="I3614" i="3" s="1"/>
  <c r="K3614" i="3" s="1"/>
  <c r="O3597" i="3"/>
  <c r="I3613" i="3" s="1"/>
  <c r="K3613" i="3" s="1"/>
  <c r="I3584" i="3"/>
  <c r="I3580" i="3"/>
  <c r="I3579" i="3"/>
  <c r="M3569" i="3"/>
  <c r="O3568" i="3"/>
  <c r="O3552" i="3"/>
  <c r="O3550" i="3"/>
  <c r="I3531" i="3"/>
  <c r="I3536" i="3" s="1"/>
  <c r="M3521" i="3"/>
  <c r="O3520" i="3"/>
  <c r="O3512" i="3"/>
  <c r="O3510" i="3"/>
  <c r="I3532" i="3" s="1"/>
  <c r="I3494" i="3"/>
  <c r="M3481" i="3"/>
  <c r="O3480" i="3"/>
  <c r="O3478" i="3"/>
  <c r="O3476" i="3"/>
  <c r="O3474" i="3"/>
  <c r="I3456" i="3"/>
  <c r="M3446" i="3"/>
  <c r="O3445" i="3"/>
  <c r="O3443" i="3"/>
  <c r="O3441" i="3"/>
  <c r="O3439" i="3"/>
  <c r="O3437" i="3"/>
  <c r="O3435" i="3"/>
  <c r="I3416" i="3"/>
  <c r="M3406" i="3"/>
  <c r="O3405" i="3"/>
  <c r="O3403" i="3"/>
  <c r="O3401" i="3"/>
  <c r="O3399" i="3"/>
  <c r="I3383" i="3"/>
  <c r="I3380" i="3"/>
  <c r="M3370" i="3"/>
  <c r="O3369" i="3"/>
  <c r="O3365" i="3"/>
  <c r="O3363" i="3"/>
  <c r="I3345" i="3"/>
  <c r="M3335" i="3"/>
  <c r="O3334" i="3"/>
  <c r="O3332" i="3"/>
  <c r="O3330" i="3"/>
  <c r="O3328" i="3"/>
  <c r="H3327" i="3"/>
  <c r="H3329" i="3" s="1"/>
  <c r="H3331" i="3" s="1"/>
  <c r="H3333" i="3" s="1"/>
  <c r="O3326" i="3"/>
  <c r="H3325" i="3"/>
  <c r="O3324" i="3"/>
  <c r="I3306" i="3"/>
  <c r="O3297" i="3"/>
  <c r="M3296" i="3"/>
  <c r="O3295" i="3"/>
  <c r="O3293" i="3"/>
  <c r="H3292" i="3"/>
  <c r="H3294" i="3" s="1"/>
  <c r="O3291" i="3"/>
  <c r="I3307" i="3" s="1"/>
  <c r="H3290" i="3"/>
  <c r="O3289" i="3"/>
  <c r="I3270" i="3"/>
  <c r="O3261" i="3"/>
  <c r="M3260" i="3"/>
  <c r="O3259" i="3"/>
  <c r="O3257" i="3"/>
  <c r="H3254" i="3"/>
  <c r="H3256" i="3" s="1"/>
  <c r="O3253" i="3"/>
  <c r="I3240" i="3"/>
  <c r="I3235" i="3"/>
  <c r="O3226" i="3"/>
  <c r="M3225" i="3"/>
  <c r="O3224" i="3"/>
  <c r="O3222" i="3"/>
  <c r="O3220" i="3"/>
  <c r="H3219" i="3"/>
  <c r="H3221" i="3" s="1"/>
  <c r="O3218" i="3"/>
  <c r="I3200" i="3"/>
  <c r="O3191" i="3"/>
  <c r="M3190" i="3"/>
  <c r="O3189" i="3"/>
  <c r="I3201" i="3" s="1"/>
  <c r="O3187" i="3"/>
  <c r="O3185" i="3"/>
  <c r="O3183" i="3"/>
  <c r="O3181" i="3"/>
  <c r="O3179" i="3"/>
  <c r="I3161" i="3"/>
  <c r="O3152" i="3"/>
  <c r="M3151" i="3"/>
  <c r="O3150" i="3"/>
  <c r="I3164" i="3" s="1"/>
  <c r="O3148" i="3"/>
  <c r="O3146" i="3"/>
  <c r="O3144" i="3"/>
  <c r="O3142" i="3"/>
  <c r="I3127" i="3"/>
  <c r="I3124" i="3"/>
  <c r="O3115" i="3"/>
  <c r="M3114" i="3"/>
  <c r="O3113" i="3"/>
  <c r="O3109" i="3"/>
  <c r="O3107" i="3"/>
  <c r="O3105" i="3"/>
  <c r="I3087" i="3"/>
  <c r="O3078" i="3"/>
  <c r="M3077" i="3"/>
  <c r="O3076" i="3"/>
  <c r="O3074" i="3"/>
  <c r="I3090" i="3" s="1"/>
  <c r="O3072" i="3"/>
  <c r="O3070" i="3"/>
  <c r="O3068" i="3"/>
  <c r="I3050" i="3"/>
  <c r="O3041" i="3"/>
  <c r="M3040" i="3"/>
  <c r="O3039" i="3"/>
  <c r="O3037" i="3"/>
  <c r="O3035" i="3"/>
  <c r="O3033" i="3"/>
  <c r="O3031" i="3"/>
  <c r="I3051" i="3" s="1"/>
  <c r="I3013" i="3"/>
  <c r="O3004" i="3"/>
  <c r="M3003" i="3"/>
  <c r="O3002" i="3"/>
  <c r="O3000" i="3"/>
  <c r="O2998" i="3"/>
  <c r="O2996" i="3"/>
  <c r="O2994" i="3"/>
  <c r="I2976" i="3"/>
  <c r="O2967" i="3"/>
  <c r="M2966" i="3"/>
  <c r="O2965" i="3"/>
  <c r="O2963" i="3"/>
  <c r="O2961" i="3"/>
  <c r="O2959" i="3"/>
  <c r="O2957" i="3"/>
  <c r="I2977" i="3" s="1"/>
  <c r="I2940" i="3"/>
  <c r="I2939" i="3"/>
  <c r="O2930" i="3"/>
  <c r="M2929" i="3"/>
  <c r="O2928" i="3"/>
  <c r="O2926" i="3"/>
  <c r="O2924" i="3"/>
  <c r="O2922" i="3"/>
  <c r="O2920" i="3"/>
  <c r="I2904" i="3"/>
  <c r="I2903" i="3"/>
  <c r="I2907" i="3" s="1"/>
  <c r="M2892" i="3"/>
  <c r="O2891" i="3"/>
  <c r="O2889" i="3"/>
  <c r="O2887" i="3"/>
  <c r="O2885" i="3"/>
  <c r="O2883" i="3"/>
  <c r="I2867" i="3"/>
  <c r="M2855" i="3"/>
  <c r="O2854" i="3"/>
  <c r="O2852" i="3"/>
  <c r="O2850" i="3"/>
  <c r="O2848" i="3"/>
  <c r="O2846" i="3"/>
  <c r="O2844" i="3"/>
  <c r="I2828" i="3"/>
  <c r="M2816" i="3"/>
  <c r="O2815" i="3"/>
  <c r="O2813" i="3"/>
  <c r="O2811" i="3"/>
  <c r="O2809" i="3"/>
  <c r="O2807" i="3"/>
  <c r="O2805" i="3"/>
  <c r="I2787" i="3"/>
  <c r="O2778" i="3"/>
  <c r="M2777" i="3"/>
  <c r="O2776" i="3"/>
  <c r="O2774" i="3"/>
  <c r="O2772" i="3"/>
  <c r="O2770" i="3"/>
  <c r="O2768" i="3"/>
  <c r="I2788" i="3" s="1"/>
  <c r="I2751" i="3"/>
  <c r="I2750" i="3"/>
  <c r="M2740" i="3"/>
  <c r="O2739" i="3"/>
  <c r="O2737" i="3"/>
  <c r="O2735" i="3"/>
  <c r="O2733" i="3"/>
  <c r="O2731" i="3"/>
  <c r="I2713" i="3"/>
  <c r="O2704" i="3"/>
  <c r="M2703" i="3"/>
  <c r="O2702" i="3"/>
  <c r="O2700" i="3"/>
  <c r="O2698" i="3"/>
  <c r="O2696" i="3"/>
  <c r="O2694" i="3"/>
  <c r="I2714" i="3" s="1"/>
  <c r="I2676" i="3"/>
  <c r="M2666" i="3"/>
  <c r="O2665" i="3"/>
  <c r="O2663" i="3"/>
  <c r="O2661" i="3"/>
  <c r="O2659" i="3"/>
  <c r="O2657" i="3"/>
  <c r="I2677" i="3" s="1"/>
  <c r="I2639" i="3"/>
  <c r="M2629" i="3"/>
  <c r="O2628" i="3"/>
  <c r="O2626" i="3"/>
  <c r="O2624" i="3"/>
  <c r="O2622" i="3"/>
  <c r="O2620" i="3"/>
  <c r="O2618" i="3"/>
  <c r="I2600" i="3"/>
  <c r="M2590" i="3"/>
  <c r="O2589" i="3"/>
  <c r="O2587" i="3"/>
  <c r="O2585" i="3"/>
  <c r="O2583" i="3"/>
  <c r="O2581" i="3"/>
  <c r="I2564" i="3"/>
  <c r="I2563" i="3"/>
  <c r="O2554" i="3"/>
  <c r="M2553" i="3"/>
  <c r="O2552" i="3"/>
  <c r="O2550" i="3"/>
  <c r="O2548" i="3"/>
  <c r="O2546" i="3"/>
  <c r="O2544" i="3"/>
  <c r="I2530" i="3"/>
  <c r="M2516" i="3"/>
  <c r="O2515" i="3"/>
  <c r="O2513" i="3"/>
  <c r="O2511" i="3"/>
  <c r="O2509" i="3"/>
  <c r="I2527" i="3" s="1"/>
  <c r="O2507" i="3"/>
  <c r="I2493" i="3"/>
  <c r="I2494" i="3" s="1"/>
  <c r="M2479" i="3"/>
  <c r="O2478" i="3"/>
  <c r="O2476" i="3"/>
  <c r="M2475" i="3"/>
  <c r="O2474" i="3"/>
  <c r="O2472" i="3"/>
  <c r="O2470" i="3"/>
  <c r="O2468" i="3"/>
  <c r="J2453" i="3"/>
  <c r="K2453" i="3" s="1"/>
  <c r="J2492" i="3" s="1"/>
  <c r="K2492" i="3" s="1"/>
  <c r="J2529" i="3" s="1"/>
  <c r="K2529" i="3" s="1"/>
  <c r="J2566" i="3" s="1"/>
  <c r="K2566" i="3" s="1"/>
  <c r="J2603" i="3" s="1"/>
  <c r="K2603" i="3" s="1"/>
  <c r="J2642" i="3" s="1"/>
  <c r="K2642" i="3" s="1"/>
  <c r="J2679" i="3" s="1"/>
  <c r="K2679" i="3" s="1"/>
  <c r="J2716" i="3" s="1"/>
  <c r="K2716" i="3" s="1"/>
  <c r="J2753" i="3" s="1"/>
  <c r="K2753" i="3" s="1"/>
  <c r="J2790" i="3" s="1"/>
  <c r="K2790" i="3" s="1"/>
  <c r="J2829" i="3" s="1"/>
  <c r="K2829" i="3" s="1"/>
  <c r="J2868" i="3" s="1"/>
  <c r="K2868" i="3" s="1"/>
  <c r="J2905" i="3" s="1"/>
  <c r="K2905" i="3" s="1"/>
  <c r="J2942" i="3" s="1"/>
  <c r="K2942" i="3" s="1"/>
  <c r="J2979" i="3" s="1"/>
  <c r="K2979" i="3" s="1"/>
  <c r="J3016" i="3" s="1"/>
  <c r="K3016" i="3" s="1"/>
  <c r="J3053" i="3" s="1"/>
  <c r="K3053" i="3" s="1"/>
  <c r="J3090" i="3" s="1"/>
  <c r="I2450" i="3"/>
  <c r="O2441" i="3"/>
  <c r="M2440" i="3"/>
  <c r="O2439" i="3"/>
  <c r="O2437" i="3"/>
  <c r="O2435" i="3"/>
  <c r="O2433" i="3"/>
  <c r="O2431" i="3"/>
  <c r="J2416" i="3"/>
  <c r="K2416" i="3" s="1"/>
  <c r="I2413" i="3"/>
  <c r="O2404" i="3"/>
  <c r="M2403" i="3"/>
  <c r="O2402" i="3"/>
  <c r="O2400" i="3"/>
  <c r="O2398" i="3"/>
  <c r="O2396" i="3"/>
  <c r="O2394" i="3"/>
  <c r="K2379" i="3"/>
  <c r="J2379" i="3"/>
  <c r="I2378" i="3"/>
  <c r="M2366" i="3"/>
  <c r="O2365" i="3"/>
  <c r="O2363" i="3"/>
  <c r="I2377" i="3" s="1"/>
  <c r="O2361" i="3"/>
  <c r="O2359" i="3"/>
  <c r="O2357" i="3"/>
  <c r="I2339" i="3"/>
  <c r="O2330" i="3"/>
  <c r="M2329" i="3"/>
  <c r="O2328" i="3"/>
  <c r="O2326" i="3"/>
  <c r="O2324" i="3"/>
  <c r="O2322" i="3"/>
  <c r="O2320" i="3"/>
  <c r="I2302" i="3"/>
  <c r="O2293" i="3"/>
  <c r="M2292" i="3"/>
  <c r="O2291" i="3"/>
  <c r="O2289" i="3"/>
  <c r="O2287" i="3"/>
  <c r="O2284" i="3"/>
  <c r="O2283" i="3"/>
  <c r="I2303" i="3" s="1"/>
  <c r="I2268" i="3"/>
  <c r="O2256" i="3"/>
  <c r="M2255" i="3"/>
  <c r="O2254" i="3"/>
  <c r="O2252" i="3"/>
  <c r="O2250" i="3"/>
  <c r="I2266" i="3" s="1"/>
  <c r="O2247" i="3"/>
  <c r="O2245" i="3"/>
  <c r="I2265" i="3" s="1"/>
  <c r="I2231" i="3"/>
  <c r="I2228" i="3"/>
  <c r="O2219" i="3"/>
  <c r="M2218" i="3"/>
  <c r="O2217" i="3"/>
  <c r="O2215" i="3"/>
  <c r="O2213" i="3"/>
  <c r="O2210" i="3"/>
  <c r="O2208" i="3"/>
  <c r="I2192" i="3"/>
  <c r="I2191" i="3"/>
  <c r="O2182" i="3"/>
  <c r="M2181" i="3"/>
  <c r="O2180" i="3"/>
  <c r="I2194" i="3" s="1"/>
  <c r="O2178" i="3"/>
  <c r="O2176" i="3"/>
  <c r="O2174" i="3"/>
  <c r="I2152" i="3"/>
  <c r="M2142" i="3"/>
  <c r="O2141" i="3"/>
  <c r="O2139" i="3"/>
  <c r="I2153" i="3" s="1"/>
  <c r="O2137" i="3"/>
  <c r="I2115" i="3"/>
  <c r="M2105" i="3"/>
  <c r="O2104" i="3"/>
  <c r="O2102" i="3"/>
  <c r="O2100" i="3"/>
  <c r="I2079" i="3"/>
  <c r="I2078" i="3"/>
  <c r="O2069" i="3"/>
  <c r="M2068" i="3"/>
  <c r="O2067" i="3"/>
  <c r="O2065" i="3"/>
  <c r="O2063" i="3"/>
  <c r="O2061" i="3"/>
  <c r="O2059" i="3"/>
  <c r="I2041" i="3"/>
  <c r="O2032" i="3"/>
  <c r="M2031" i="3"/>
  <c r="O2030" i="3"/>
  <c r="O2028" i="3"/>
  <c r="O2026" i="3"/>
  <c r="O2024" i="3"/>
  <c r="I2042" i="3" s="1"/>
  <c r="O2022" i="3"/>
  <c r="I2009" i="3"/>
  <c r="I2005" i="3"/>
  <c r="I2004" i="3"/>
  <c r="O1995" i="3"/>
  <c r="M1994" i="3"/>
  <c r="O1993" i="3"/>
  <c r="O1991" i="3"/>
  <c r="O1989" i="3"/>
  <c r="O1987" i="3"/>
  <c r="O1985" i="3"/>
  <c r="I1968" i="3"/>
  <c r="I1967" i="3"/>
  <c r="O1958" i="3"/>
  <c r="M1957" i="3"/>
  <c r="O1956" i="3"/>
  <c r="O1954" i="3"/>
  <c r="O1952" i="3"/>
  <c r="O1950" i="3"/>
  <c r="O1948" i="3"/>
  <c r="I1931" i="3"/>
  <c r="I1930" i="3"/>
  <c r="I1935" i="3" s="1"/>
  <c r="O1921" i="3"/>
  <c r="M1920" i="3"/>
  <c r="O1919" i="3"/>
  <c r="O1917" i="3"/>
  <c r="O1915" i="3"/>
  <c r="O1913" i="3"/>
  <c r="O1911" i="3"/>
  <c r="I1893" i="3"/>
  <c r="M1883" i="3"/>
  <c r="O1882" i="3"/>
  <c r="O1880" i="3"/>
  <c r="I1896" i="3" s="1"/>
  <c r="O1878" i="3"/>
  <c r="O1876" i="3"/>
  <c r="O1874" i="3"/>
  <c r="I1856" i="3"/>
  <c r="M1846" i="3"/>
  <c r="O1845" i="3"/>
  <c r="O1843" i="3"/>
  <c r="O1841" i="3"/>
  <c r="O1839" i="3"/>
  <c r="O1837" i="3"/>
  <c r="I1819" i="3"/>
  <c r="M1809" i="3"/>
  <c r="O1808" i="3"/>
  <c r="O1806" i="3"/>
  <c r="O1804" i="3"/>
  <c r="O1802" i="3"/>
  <c r="O1800" i="3"/>
  <c r="I1820" i="3" s="1"/>
  <c r="I1782" i="3"/>
  <c r="O1773" i="3"/>
  <c r="M1772" i="3"/>
  <c r="O1771" i="3"/>
  <c r="O1769" i="3"/>
  <c r="O1767" i="3"/>
  <c r="O1765" i="3"/>
  <c r="O1763" i="3"/>
  <c r="I1783" i="3" s="1"/>
  <c r="I1745" i="3"/>
  <c r="R1737" i="3"/>
  <c r="M1735" i="3"/>
  <c r="O1734" i="3"/>
  <c r="O1732" i="3"/>
  <c r="O1730" i="3"/>
  <c r="O1728" i="3"/>
  <c r="O1726" i="3"/>
  <c r="O1724" i="3"/>
  <c r="I1706" i="3"/>
  <c r="O1697" i="3"/>
  <c r="M1696" i="3"/>
  <c r="O1695" i="3"/>
  <c r="O1693" i="3"/>
  <c r="O1691" i="3"/>
  <c r="I1707" i="3" s="1"/>
  <c r="O1689" i="3"/>
  <c r="O1687" i="3"/>
  <c r="I1669" i="3"/>
  <c r="I1674" i="3" s="1"/>
  <c r="O1660" i="3"/>
  <c r="M1659" i="3"/>
  <c r="O1658" i="3"/>
  <c r="O1656" i="3"/>
  <c r="O1654" i="3"/>
  <c r="O1652" i="3"/>
  <c r="O1650" i="3"/>
  <c r="I1670" i="3" s="1"/>
  <c r="I1632" i="3"/>
  <c r="O1623" i="3"/>
  <c r="M1622" i="3"/>
  <c r="O1621" i="3"/>
  <c r="O1619" i="3"/>
  <c r="O1617" i="3"/>
  <c r="O1615" i="3"/>
  <c r="O1613" i="3"/>
  <c r="I1600" i="3"/>
  <c r="J1599" i="3"/>
  <c r="K1599" i="3" s="1"/>
  <c r="J1636" i="3" s="1"/>
  <c r="K1636" i="3" s="1"/>
  <c r="J1673" i="3" s="1"/>
  <c r="K1673" i="3" s="1"/>
  <c r="J1710" i="3" s="1"/>
  <c r="K1710" i="3" s="1"/>
  <c r="J1749" i="3" s="1"/>
  <c r="K1749" i="3" s="1"/>
  <c r="J1786" i="3" s="1"/>
  <c r="K1786" i="3" s="1"/>
  <c r="J1823" i="3" s="1"/>
  <c r="K1823" i="3" s="1"/>
  <c r="J1860" i="3" s="1"/>
  <c r="K1860" i="3" s="1"/>
  <c r="J1897" i="3" s="1"/>
  <c r="K1897" i="3" s="1"/>
  <c r="J1934" i="3" s="1"/>
  <c r="K1934" i="3" s="1"/>
  <c r="J1971" i="3" s="1"/>
  <c r="K1971" i="3" s="1"/>
  <c r="J2008" i="3" s="1"/>
  <c r="K2008" i="3" s="1"/>
  <c r="J2045" i="3" s="1"/>
  <c r="K2045" i="3" s="1"/>
  <c r="J2082" i="3" s="1"/>
  <c r="K2082" i="3" s="1"/>
  <c r="J2119" i="3" s="1"/>
  <c r="K2119" i="3" s="1"/>
  <c r="J2156" i="3" s="1"/>
  <c r="K2156" i="3" s="1"/>
  <c r="J2195" i="3" s="1"/>
  <c r="K2195" i="3" s="1"/>
  <c r="J2232" i="3" s="1"/>
  <c r="K2232" i="3" s="1"/>
  <c r="J2269" i="3" s="1"/>
  <c r="K2269" i="3" s="1"/>
  <c r="J2306" i="3" s="1"/>
  <c r="K2306" i="3" s="1"/>
  <c r="J2343" i="3" s="1"/>
  <c r="K2343" i="3" s="1"/>
  <c r="J2380" i="3" s="1"/>
  <c r="K2380" i="3" s="1"/>
  <c r="J2417" i="3" s="1"/>
  <c r="K2417" i="3" s="1"/>
  <c r="J2454" i="3" s="1"/>
  <c r="K2454" i="3" s="1"/>
  <c r="J2493" i="3" s="1"/>
  <c r="I1595" i="3"/>
  <c r="O1586" i="3"/>
  <c r="M1585" i="3"/>
  <c r="O1584" i="3"/>
  <c r="I1598" i="3" s="1"/>
  <c r="O1582" i="3"/>
  <c r="O1580" i="3"/>
  <c r="O1578" i="3"/>
  <c r="O1576" i="3"/>
  <c r="I1558" i="3"/>
  <c r="O1549" i="3"/>
  <c r="M1548" i="3"/>
  <c r="O1547" i="3"/>
  <c r="O1545" i="3"/>
  <c r="O1543" i="3"/>
  <c r="O1541" i="3"/>
  <c r="I1521" i="3"/>
  <c r="O1512" i="3"/>
  <c r="M1511" i="3"/>
  <c r="O1510" i="3"/>
  <c r="O1508" i="3"/>
  <c r="O1506" i="3"/>
  <c r="O1504" i="3"/>
  <c r="O1502" i="3"/>
  <c r="H1501" i="3"/>
  <c r="H1503" i="3" s="1"/>
  <c r="H1505" i="3" s="1"/>
  <c r="H1507" i="3" s="1"/>
  <c r="H1509" i="3" s="1"/>
  <c r="O1500" i="3"/>
  <c r="C1487" i="3"/>
  <c r="D1487" i="3" s="1"/>
  <c r="C1486" i="3"/>
  <c r="D1486" i="3" s="1"/>
  <c r="D1485" i="3"/>
  <c r="C1485" i="3"/>
  <c r="C1484" i="3"/>
  <c r="B1484" i="3"/>
  <c r="D1484" i="3" s="1"/>
  <c r="C1483" i="3"/>
  <c r="C1488" i="3" s="1"/>
  <c r="B1483" i="3"/>
  <c r="I1482" i="3"/>
  <c r="I1487" i="3" s="1"/>
  <c r="F1474" i="3"/>
  <c r="F1475" i="3" s="1"/>
  <c r="F1473" i="3"/>
  <c r="M1472" i="3"/>
  <c r="O1471" i="3"/>
  <c r="O1469" i="3"/>
  <c r="I1483" i="3" s="1"/>
  <c r="O1463" i="3"/>
  <c r="A1463" i="3"/>
  <c r="A1465" i="3" s="1"/>
  <c r="A1469" i="3" s="1"/>
  <c r="O1461" i="3"/>
  <c r="A1461" i="3"/>
  <c r="D1449" i="3"/>
  <c r="C1449" i="3"/>
  <c r="B1449" i="3"/>
  <c r="B1446" i="3"/>
  <c r="B1445" i="3"/>
  <c r="I1443" i="3"/>
  <c r="F1435" i="3"/>
  <c r="M1433" i="3"/>
  <c r="O1432" i="3"/>
  <c r="O1430" i="3"/>
  <c r="O1428" i="3"/>
  <c r="I1446" i="3" s="1"/>
  <c r="O1426" i="3"/>
  <c r="O1424" i="3"/>
  <c r="B1413" i="3"/>
  <c r="B1409" i="3"/>
  <c r="B1408" i="3"/>
  <c r="I1406" i="3"/>
  <c r="F1398" i="3"/>
  <c r="O1397" i="3"/>
  <c r="M1396" i="3"/>
  <c r="O1395" i="3"/>
  <c r="O1393" i="3"/>
  <c r="O1391" i="3"/>
  <c r="O1389" i="3"/>
  <c r="H1388" i="3"/>
  <c r="H1390" i="3" s="1"/>
  <c r="O1387" i="3"/>
  <c r="B1376" i="3"/>
  <c r="B1372" i="3"/>
  <c r="B1371" i="3"/>
  <c r="I1369" i="3"/>
  <c r="I1374" i="3" s="1"/>
  <c r="F1361" i="3"/>
  <c r="O1360" i="3"/>
  <c r="M1359" i="3"/>
  <c r="O1358" i="3"/>
  <c r="O1356" i="3"/>
  <c r="O1354" i="3"/>
  <c r="O1352" i="3"/>
  <c r="H1351" i="3"/>
  <c r="H1353" i="3" s="1"/>
  <c r="H1355" i="3" s="1"/>
  <c r="H1357" i="3" s="1"/>
  <c r="O1350" i="3"/>
  <c r="B1337" i="3"/>
  <c r="B1333" i="3"/>
  <c r="I1332" i="3"/>
  <c r="B1332" i="3"/>
  <c r="O1323" i="3"/>
  <c r="M1322" i="3"/>
  <c r="F1322" i="3"/>
  <c r="O1321" i="3"/>
  <c r="O1319" i="3"/>
  <c r="H1318" i="3"/>
  <c r="H1320" i="3" s="1"/>
  <c r="O1317" i="3"/>
  <c r="H1316" i="3"/>
  <c r="O1315" i="3"/>
  <c r="H1314" i="3"/>
  <c r="O1313" i="3"/>
  <c r="I1298" i="3"/>
  <c r="B1296" i="3"/>
  <c r="B1295" i="3"/>
  <c r="B1300" i="3" s="1"/>
  <c r="M1285" i="3"/>
  <c r="F1285" i="3"/>
  <c r="O1277" i="3"/>
  <c r="O1275" i="3"/>
  <c r="I1259" i="3"/>
  <c r="B1259" i="3"/>
  <c r="B1258" i="3"/>
  <c r="M1248" i="3"/>
  <c r="F1248" i="3"/>
  <c r="O1247" i="3"/>
  <c r="O1245" i="3"/>
  <c r="O1243" i="3"/>
  <c r="I1261" i="3" s="1"/>
  <c r="O1240" i="3"/>
  <c r="O1238" i="3"/>
  <c r="I1258" i="3" s="1"/>
  <c r="I1263" i="3" s="1"/>
  <c r="I1226" i="3"/>
  <c r="B1226" i="3"/>
  <c r="C1225" i="3"/>
  <c r="D1225" i="3" s="1"/>
  <c r="C1262" i="3" s="1"/>
  <c r="D1262" i="3" s="1"/>
  <c r="C1299" i="3" s="1"/>
  <c r="D1299" i="3" s="1"/>
  <c r="C1336" i="3" s="1"/>
  <c r="D1336" i="3" s="1"/>
  <c r="C1375" i="3" s="1"/>
  <c r="D1375" i="3" s="1"/>
  <c r="C1412" i="3" s="1"/>
  <c r="D1412" i="3" s="1"/>
  <c r="B1222" i="3"/>
  <c r="B1221" i="3"/>
  <c r="M1211" i="3"/>
  <c r="I1224" i="3" s="1"/>
  <c r="F1211" i="3"/>
  <c r="O1209" i="3"/>
  <c r="O1207" i="3"/>
  <c r="O1205" i="3"/>
  <c r="O1203" i="3"/>
  <c r="O1201" i="3"/>
  <c r="I1187" i="3"/>
  <c r="I1185" i="3"/>
  <c r="B1185" i="3"/>
  <c r="B1184" i="3"/>
  <c r="B1189" i="3" s="1"/>
  <c r="O1175" i="3"/>
  <c r="M1174" i="3"/>
  <c r="F1174" i="3"/>
  <c r="O1172" i="3"/>
  <c r="M1170" i="3"/>
  <c r="O1170" i="3" s="1"/>
  <c r="O1168" i="3"/>
  <c r="M1168" i="3"/>
  <c r="O1167" i="3"/>
  <c r="O1164" i="3"/>
  <c r="A1164" i="3"/>
  <c r="A1166" i="3" s="1"/>
  <c r="A1201" i="3" s="1"/>
  <c r="A1203" i="3" s="1"/>
  <c r="A1205" i="3" s="1"/>
  <c r="A1238" i="3" s="1"/>
  <c r="A1240" i="3" s="1"/>
  <c r="A1242" i="3" s="1"/>
  <c r="A1244" i="3" s="1"/>
  <c r="A1246" i="3" s="1"/>
  <c r="A1275" i="3" s="1"/>
  <c r="A1277" i="3" s="1"/>
  <c r="A1279" i="3" s="1"/>
  <c r="A1281" i="3" s="1"/>
  <c r="A1283" i="3" s="1"/>
  <c r="A1312" i="3" s="1"/>
  <c r="A1314" i="3" s="1"/>
  <c r="A1316" i="3" s="1"/>
  <c r="A1318" i="3" s="1"/>
  <c r="A1320" i="3" s="1"/>
  <c r="A1349" i="3" s="1"/>
  <c r="A1351" i="3" s="1"/>
  <c r="A1353" i="3" s="1"/>
  <c r="A1355" i="3" s="1"/>
  <c r="A1357" i="3" s="1"/>
  <c r="A1359" i="3" s="1"/>
  <c r="A1388" i="3" s="1"/>
  <c r="A1390" i="3" s="1"/>
  <c r="A1392" i="3" s="1"/>
  <c r="A1394" i="3" s="1"/>
  <c r="A1425" i="3" s="1"/>
  <c r="A1427" i="3" s="1"/>
  <c r="A1429" i="3" s="1"/>
  <c r="A1431" i="3" s="1"/>
  <c r="B1152" i="3"/>
  <c r="B1148" i="3"/>
  <c r="B1147" i="3"/>
  <c r="M1137" i="3"/>
  <c r="F1137" i="3"/>
  <c r="O1136" i="3"/>
  <c r="O1134" i="3"/>
  <c r="O1129" i="3"/>
  <c r="O1127" i="3"/>
  <c r="B1115" i="3"/>
  <c r="C1114" i="3"/>
  <c r="D1114" i="3" s="1"/>
  <c r="C1151" i="3" s="1"/>
  <c r="D1151" i="3" s="1"/>
  <c r="C1188" i="3" s="1"/>
  <c r="D1188" i="3" s="1"/>
  <c r="J1113" i="3"/>
  <c r="K1113" i="3" s="1"/>
  <c r="J1150" i="3" s="1"/>
  <c r="K1150" i="3" s="1"/>
  <c r="J1187" i="3" s="1"/>
  <c r="B1111" i="3"/>
  <c r="I1110" i="3"/>
  <c r="B1110" i="3"/>
  <c r="O1101" i="3"/>
  <c r="M1101" i="3"/>
  <c r="M1102" i="3" s="1"/>
  <c r="M1138" i="3" s="1"/>
  <c r="M1139" i="3" s="1"/>
  <c r="M1175" i="3" s="1"/>
  <c r="M1100" i="3"/>
  <c r="F1100" i="3"/>
  <c r="O1099" i="3"/>
  <c r="O1097" i="3"/>
  <c r="O1095" i="3"/>
  <c r="I1111" i="3" s="1"/>
  <c r="O1093" i="3"/>
  <c r="O1090" i="3"/>
  <c r="D1077" i="3"/>
  <c r="C1077" i="3"/>
  <c r="K1076" i="3"/>
  <c r="K1074" i="3"/>
  <c r="J1111" i="3" s="1"/>
  <c r="I1074" i="3"/>
  <c r="I1078" i="3" s="1"/>
  <c r="B1074" i="3"/>
  <c r="K1073" i="3"/>
  <c r="I1073" i="3"/>
  <c r="B1073" i="3"/>
  <c r="B1078" i="3" s="1"/>
  <c r="M1065" i="3"/>
  <c r="M1063" i="3"/>
  <c r="F1063" i="3"/>
  <c r="O1062" i="3"/>
  <c r="O1060" i="3"/>
  <c r="O1058" i="3"/>
  <c r="O1056" i="3"/>
  <c r="O1054" i="3"/>
  <c r="B1039" i="3"/>
  <c r="B1038" i="3"/>
  <c r="F1028" i="3"/>
  <c r="M1026" i="3"/>
  <c r="A1026" i="3"/>
  <c r="A1053" i="3" s="1"/>
  <c r="A1055" i="3" s="1"/>
  <c r="A1090" i="3" s="1"/>
  <c r="A1092" i="3" s="1"/>
  <c r="A1094" i="3" s="1"/>
  <c r="O1025" i="3"/>
  <c r="O1023" i="3"/>
  <c r="O1021" i="3"/>
  <c r="O1018" i="3"/>
  <c r="I1039" i="3" s="1"/>
  <c r="B1008" i="3"/>
  <c r="B1004" i="3"/>
  <c r="B1003" i="3"/>
  <c r="I1001" i="3"/>
  <c r="F993" i="3"/>
  <c r="O992" i="3"/>
  <c r="M991" i="3"/>
  <c r="O990" i="3"/>
  <c r="I1004" i="3" s="1"/>
  <c r="O988" i="3"/>
  <c r="I1002" i="3" s="1"/>
  <c r="O986" i="3"/>
  <c r="O984" i="3"/>
  <c r="H983" i="3"/>
  <c r="H985" i="3" s="1"/>
  <c r="H987" i="3" s="1"/>
  <c r="O982" i="3"/>
  <c r="H981" i="3"/>
  <c r="O980" i="3"/>
  <c r="B967" i="3"/>
  <c r="B965" i="3"/>
  <c r="B964" i="3"/>
  <c r="F954" i="3"/>
  <c r="O953" i="3"/>
  <c r="M952" i="3"/>
  <c r="O951" i="3"/>
  <c r="O949" i="3"/>
  <c r="O947" i="3"/>
  <c r="O945" i="3"/>
  <c r="O942" i="3"/>
  <c r="B930" i="3"/>
  <c r="I928" i="3"/>
  <c r="B928" i="3"/>
  <c r="I926" i="3"/>
  <c r="B926" i="3"/>
  <c r="B925" i="3"/>
  <c r="I923" i="3"/>
  <c r="F915" i="3"/>
  <c r="M913" i="3"/>
  <c r="O907" i="3"/>
  <c r="B893" i="3"/>
  <c r="I891" i="3"/>
  <c r="B891" i="3"/>
  <c r="I889" i="3"/>
  <c r="B889" i="3"/>
  <c r="B888" i="3"/>
  <c r="I886" i="3"/>
  <c r="F878" i="3"/>
  <c r="M876" i="3"/>
  <c r="O875" i="3"/>
  <c r="O872" i="3"/>
  <c r="O870" i="3"/>
  <c r="O868" i="3"/>
  <c r="H868" i="3"/>
  <c r="H870" i="3" s="1"/>
  <c r="H872" i="3" s="1"/>
  <c r="H874" i="3" s="1"/>
  <c r="H903" i="3" s="1"/>
  <c r="H905" i="3" s="1"/>
  <c r="H907" i="3" s="1"/>
  <c r="O866" i="3"/>
  <c r="H866" i="3"/>
  <c r="O864" i="3"/>
  <c r="I850" i="3"/>
  <c r="B850" i="3"/>
  <c r="B849" i="3"/>
  <c r="I847" i="3"/>
  <c r="F839" i="3"/>
  <c r="M837" i="3"/>
  <c r="O836" i="3"/>
  <c r="O834" i="3"/>
  <c r="O832" i="3"/>
  <c r="O830" i="3"/>
  <c r="O828" i="3"/>
  <c r="I848" i="3" s="1"/>
  <c r="A827" i="3"/>
  <c r="A829" i="3" s="1"/>
  <c r="A831" i="3" s="1"/>
  <c r="A835" i="3" s="1"/>
  <c r="A837" i="3" s="1"/>
  <c r="A866" i="3" s="1"/>
  <c r="A868" i="3" s="1"/>
  <c r="A870" i="3" s="1"/>
  <c r="A874" i="3" s="1"/>
  <c r="A876" i="3" s="1"/>
  <c r="A905" i="3" s="1"/>
  <c r="A907" i="3" s="1"/>
  <c r="A909" i="3" s="1"/>
  <c r="A942" i="3" s="1"/>
  <c r="A981" i="3" s="1"/>
  <c r="B815" i="3"/>
  <c r="B813" i="3"/>
  <c r="B812" i="3"/>
  <c r="I811" i="3"/>
  <c r="I810" i="3"/>
  <c r="F802" i="3"/>
  <c r="O801" i="3"/>
  <c r="M800" i="3"/>
  <c r="O799" i="3"/>
  <c r="O795" i="3"/>
  <c r="O793" i="3"/>
  <c r="I778" i="3"/>
  <c r="B778" i="3"/>
  <c r="B777" i="3"/>
  <c r="B782" i="3" s="1"/>
  <c r="I775" i="3"/>
  <c r="F767" i="3"/>
  <c r="M765" i="3"/>
  <c r="O764" i="3"/>
  <c r="A763" i="3"/>
  <c r="A765" i="3" s="1"/>
  <c r="A794" i="3" s="1"/>
  <c r="O762" i="3"/>
  <c r="O760" i="3"/>
  <c r="O758" i="3"/>
  <c r="O756" i="3"/>
  <c r="B745" i="3"/>
  <c r="B743" i="3"/>
  <c r="J741" i="3"/>
  <c r="I741" i="3"/>
  <c r="K741" i="3" s="1"/>
  <c r="J778" i="3" s="1"/>
  <c r="B741" i="3"/>
  <c r="B740" i="3"/>
  <c r="I738" i="3"/>
  <c r="F730" i="3"/>
  <c r="M728" i="3"/>
  <c r="O727" i="3"/>
  <c r="A726" i="3"/>
  <c r="A728" i="3" s="1"/>
  <c r="A759" i="3" s="1"/>
  <c r="A761" i="3" s="1"/>
  <c r="O725" i="3"/>
  <c r="O723" i="3"/>
  <c r="O721" i="3"/>
  <c r="O719" i="3"/>
  <c r="D705" i="3"/>
  <c r="C744" i="3" s="1"/>
  <c r="D744" i="3" s="1"/>
  <c r="C781" i="3" s="1"/>
  <c r="D781" i="3" s="1"/>
  <c r="C816" i="3" s="1"/>
  <c r="D816" i="3" s="1"/>
  <c r="C853" i="3" s="1"/>
  <c r="D853" i="3" s="1"/>
  <c r="C892" i="3" s="1"/>
  <c r="D892" i="3" s="1"/>
  <c r="C929" i="3" s="1"/>
  <c r="D929" i="3" s="1"/>
  <c r="C968" i="3" s="1"/>
  <c r="D968" i="3" s="1"/>
  <c r="C1007" i="3" s="1"/>
  <c r="D1007" i="3" s="1"/>
  <c r="C705" i="3"/>
  <c r="K704" i="3"/>
  <c r="I704" i="3"/>
  <c r="B702" i="3"/>
  <c r="I701" i="3"/>
  <c r="I706" i="3" s="1"/>
  <c r="B701" i="3"/>
  <c r="B706" i="3" s="1"/>
  <c r="O692" i="3"/>
  <c r="M691" i="3"/>
  <c r="F691" i="3"/>
  <c r="O690" i="3"/>
  <c r="A689" i="3"/>
  <c r="A718" i="3" s="1"/>
  <c r="A720" i="3" s="1"/>
  <c r="O688" i="3"/>
  <c r="O686" i="3"/>
  <c r="O684" i="3"/>
  <c r="O682" i="3"/>
  <c r="B669" i="3"/>
  <c r="J668" i="3"/>
  <c r="K668" i="3" s="1"/>
  <c r="J705" i="3" s="1"/>
  <c r="K705" i="3" s="1"/>
  <c r="J742" i="3" s="1"/>
  <c r="K742" i="3" s="1"/>
  <c r="J779" i="3" s="1"/>
  <c r="K779" i="3" s="1"/>
  <c r="J814" i="3" s="1"/>
  <c r="K814" i="3" s="1"/>
  <c r="J851" i="3" s="1"/>
  <c r="K851" i="3" s="1"/>
  <c r="J890" i="3" s="1"/>
  <c r="K890" i="3" s="1"/>
  <c r="J927" i="3" s="1"/>
  <c r="K927" i="3" s="1"/>
  <c r="J966" i="3" s="1"/>
  <c r="K966" i="3" s="1"/>
  <c r="J1005" i="3" s="1"/>
  <c r="K1005" i="3" s="1"/>
  <c r="J1040" i="3" s="1"/>
  <c r="K1040" i="3" s="1"/>
  <c r="J1077" i="3" s="1"/>
  <c r="K1077" i="3" s="1"/>
  <c r="J1114" i="3" s="1"/>
  <c r="K1114" i="3" s="1"/>
  <c r="J1151" i="3" s="1"/>
  <c r="K1151" i="3" s="1"/>
  <c r="J1188" i="3" s="1"/>
  <c r="K1188" i="3" s="1"/>
  <c r="J1225" i="3" s="1"/>
  <c r="K1225" i="3" s="1"/>
  <c r="J1262" i="3" s="1"/>
  <c r="K1262" i="3" s="1"/>
  <c r="J1299" i="3" s="1"/>
  <c r="K1299" i="3" s="1"/>
  <c r="J1336" i="3" s="1"/>
  <c r="K1336" i="3" s="1"/>
  <c r="J1373" i="3" s="1"/>
  <c r="K1373" i="3" s="1"/>
  <c r="J1410" i="3" s="1"/>
  <c r="K1410" i="3" s="1"/>
  <c r="J1447" i="3" s="1"/>
  <c r="K1447" i="3" s="1"/>
  <c r="J1486" i="3" s="1"/>
  <c r="K1486" i="3" s="1"/>
  <c r="J1525" i="3" s="1"/>
  <c r="K1525" i="3" s="1"/>
  <c r="J1562" i="3" s="1"/>
  <c r="K1562" i="3" s="1"/>
  <c r="D668" i="3"/>
  <c r="C668" i="3"/>
  <c r="B667" i="3"/>
  <c r="B665" i="3"/>
  <c r="J664" i="3"/>
  <c r="I664" i="3"/>
  <c r="K664" i="3" s="1"/>
  <c r="B664" i="3"/>
  <c r="O655" i="3"/>
  <c r="M655" i="3"/>
  <c r="M654" i="3"/>
  <c r="M656" i="3" s="1"/>
  <c r="M692" i="3" s="1"/>
  <c r="M693" i="3" s="1"/>
  <c r="M729" i="3" s="1"/>
  <c r="F654" i="3"/>
  <c r="O653" i="3"/>
  <c r="O651" i="3"/>
  <c r="O649" i="3"/>
  <c r="O647" i="3"/>
  <c r="O645" i="3"/>
  <c r="A644" i="3"/>
  <c r="A648" i="3" s="1"/>
  <c r="A681" i="3" s="1"/>
  <c r="A683" i="3" s="1"/>
  <c r="A685" i="3" s="1"/>
  <c r="I632" i="3"/>
  <c r="B632" i="3"/>
  <c r="K631" i="3"/>
  <c r="J667" i="3" s="1"/>
  <c r="K667" i="3" s="1"/>
  <c r="J704" i="3" s="1"/>
  <c r="J629" i="3"/>
  <c r="K629" i="3" s="1"/>
  <c r="B629" i="3"/>
  <c r="J628" i="3"/>
  <c r="I628" i="3"/>
  <c r="K628" i="3" s="1"/>
  <c r="B628" i="3"/>
  <c r="M618" i="3"/>
  <c r="M620" i="3" s="1"/>
  <c r="F618" i="3"/>
  <c r="O615" i="3"/>
  <c r="Q610" i="3"/>
  <c r="A610" i="3"/>
  <c r="A614" i="3" s="1"/>
  <c r="I598" i="3"/>
  <c r="B594" i="3"/>
  <c r="B593" i="3"/>
  <c r="B598" i="3" s="1"/>
  <c r="M583" i="3"/>
  <c r="F583" i="3"/>
  <c r="O578" i="3"/>
  <c r="A577" i="3"/>
  <c r="O576" i="3"/>
  <c r="A575" i="3"/>
  <c r="B563" i="3"/>
  <c r="K559" i="3"/>
  <c r="J594" i="3" s="1"/>
  <c r="B559" i="3"/>
  <c r="I558" i="3"/>
  <c r="B558" i="3"/>
  <c r="M548" i="3"/>
  <c r="M550" i="3" s="1"/>
  <c r="M584" i="3" s="1"/>
  <c r="F548" i="3"/>
  <c r="O547" i="3"/>
  <c r="O545" i="3"/>
  <c r="O543" i="3"/>
  <c r="I561" i="3" s="1"/>
  <c r="A542" i="3"/>
  <c r="A546" i="3" s="1"/>
  <c r="I526" i="3"/>
  <c r="I530" i="3" s="1"/>
  <c r="B526" i="3"/>
  <c r="I525" i="3"/>
  <c r="B525" i="3"/>
  <c r="M515" i="3"/>
  <c r="F515" i="3"/>
  <c r="O512" i="3"/>
  <c r="I528" i="3" s="1"/>
  <c r="O510" i="3"/>
  <c r="O508" i="3"/>
  <c r="O506" i="3"/>
  <c r="A505" i="3"/>
  <c r="A511" i="3" s="1"/>
  <c r="B493" i="3"/>
  <c r="B489" i="3"/>
  <c r="I488" i="3"/>
  <c r="B488" i="3"/>
  <c r="M478" i="3"/>
  <c r="F478" i="3"/>
  <c r="O477" i="3"/>
  <c r="O475" i="3"/>
  <c r="O473" i="3"/>
  <c r="I491" i="3" s="1"/>
  <c r="O470" i="3"/>
  <c r="B451" i="3"/>
  <c r="I450" i="3"/>
  <c r="B450" i="3"/>
  <c r="M440" i="3"/>
  <c r="F440" i="3"/>
  <c r="O439" i="3"/>
  <c r="O437" i="3"/>
  <c r="O435" i="3"/>
  <c r="O433" i="3"/>
  <c r="I451" i="3" s="1"/>
  <c r="O431" i="3"/>
  <c r="I413" i="3"/>
  <c r="B413" i="3"/>
  <c r="I412" i="3"/>
  <c r="B412" i="3"/>
  <c r="M402" i="3"/>
  <c r="F402" i="3"/>
  <c r="O401" i="3"/>
  <c r="O399" i="3"/>
  <c r="O395" i="3"/>
  <c r="O393" i="3"/>
  <c r="O391" i="3"/>
  <c r="B376" i="3"/>
  <c r="D375" i="3"/>
  <c r="C416" i="3" s="1"/>
  <c r="D416" i="3" s="1"/>
  <c r="C454" i="3" s="1"/>
  <c r="D454" i="3" s="1"/>
  <c r="C492" i="3" s="1"/>
  <c r="D492" i="3" s="1"/>
  <c r="C529" i="3" s="1"/>
  <c r="D529" i="3" s="1"/>
  <c r="C375" i="3"/>
  <c r="I374" i="3"/>
  <c r="B374" i="3"/>
  <c r="I371" i="3"/>
  <c r="B371" i="3"/>
  <c r="M361" i="3"/>
  <c r="F361" i="3"/>
  <c r="O360" i="3"/>
  <c r="A359" i="3"/>
  <c r="A388" i="3" s="1"/>
  <c r="A394" i="3" s="1"/>
  <c r="A396" i="3" s="1"/>
  <c r="A398" i="3" s="1"/>
  <c r="A400" i="3" s="1"/>
  <c r="A430" i="3" s="1"/>
  <c r="A432" i="3" s="1"/>
  <c r="A436" i="3" s="1"/>
  <c r="A468" i="3" s="1"/>
  <c r="A470" i="3" s="1"/>
  <c r="A474" i="3" s="1"/>
  <c r="A476" i="3" s="1"/>
  <c r="O358" i="3"/>
  <c r="I372" i="3" s="1"/>
  <c r="A351" i="3"/>
  <c r="A355" i="3" s="1"/>
  <c r="I339" i="3"/>
  <c r="B339" i="3"/>
  <c r="B335" i="3"/>
  <c r="I334" i="3"/>
  <c r="B334" i="3"/>
  <c r="M326" i="3"/>
  <c r="M324" i="3"/>
  <c r="F324" i="3"/>
  <c r="O323" i="3"/>
  <c r="O321" i="3"/>
  <c r="O319" i="3"/>
  <c r="O317" i="3"/>
  <c r="O315" i="3"/>
  <c r="O313" i="3"/>
  <c r="I337" i="3" s="1"/>
  <c r="K337" i="3" s="1"/>
  <c r="J374" i="3" s="1"/>
  <c r="B300" i="3"/>
  <c r="B296" i="3"/>
  <c r="I295" i="3"/>
  <c r="B295" i="3"/>
  <c r="M285" i="3"/>
  <c r="F285" i="3"/>
  <c r="O284" i="3"/>
  <c r="O280" i="3"/>
  <c r="O278" i="3"/>
  <c r="O276" i="3"/>
  <c r="O274" i="3"/>
  <c r="B261" i="3"/>
  <c r="I256" i="3"/>
  <c r="B256" i="3"/>
  <c r="M246" i="3"/>
  <c r="F246" i="3"/>
  <c r="O245" i="3"/>
  <c r="O243" i="3"/>
  <c r="O241" i="3"/>
  <c r="O239" i="3"/>
  <c r="O237" i="3"/>
  <c r="O235" i="3"/>
  <c r="B219" i="3"/>
  <c r="I217" i="3"/>
  <c r="B217" i="3"/>
  <c r="B222" i="3" s="1"/>
  <c r="O208" i="3"/>
  <c r="F207" i="3"/>
  <c r="O206" i="3"/>
  <c r="O204" i="3"/>
  <c r="M201" i="3"/>
  <c r="M207" i="3" s="1"/>
  <c r="O200" i="3"/>
  <c r="A199" i="3"/>
  <c r="A201" i="3" s="1"/>
  <c r="A203" i="3" s="1"/>
  <c r="A234" i="3" s="1"/>
  <c r="A236" i="3" s="1"/>
  <c r="A238" i="3" s="1"/>
  <c r="A273" i="3" s="1"/>
  <c r="A275" i="3" s="1"/>
  <c r="A277" i="3" s="1"/>
  <c r="A279" i="3" s="1"/>
  <c r="A283" i="3" s="1"/>
  <c r="A312" i="3" s="1"/>
  <c r="A314" i="3" s="1"/>
  <c r="A316" i="3" s="1"/>
  <c r="A318" i="3" s="1"/>
  <c r="O198" i="3"/>
  <c r="I220" i="3" s="1"/>
  <c r="A197" i="3"/>
  <c r="J182" i="3"/>
  <c r="K182" i="3" s="1"/>
  <c r="J219" i="3" s="1"/>
  <c r="K219" i="3" s="1"/>
  <c r="J258" i="3" s="1"/>
  <c r="K258" i="3" s="1"/>
  <c r="J297" i="3" s="1"/>
  <c r="K297" i="3" s="1"/>
  <c r="J336" i="3" s="1"/>
  <c r="K336" i="3" s="1"/>
  <c r="J373" i="3" s="1"/>
  <c r="K373" i="3" s="1"/>
  <c r="J414" i="3" s="1"/>
  <c r="K414" i="3" s="1"/>
  <c r="J452" i="3" s="1"/>
  <c r="K452" i="3" s="1"/>
  <c r="J490" i="3" s="1"/>
  <c r="K490" i="3" s="1"/>
  <c r="J527" i="3" s="1"/>
  <c r="K527" i="3" s="1"/>
  <c r="J560" i="3" s="1"/>
  <c r="B181" i="3"/>
  <c r="I180" i="3"/>
  <c r="I185" i="3" s="1"/>
  <c r="B180" i="3"/>
  <c r="M170" i="3"/>
  <c r="I183" i="3" s="1"/>
  <c r="F170" i="3"/>
  <c r="O169" i="3"/>
  <c r="O167" i="3"/>
  <c r="O165" i="3"/>
  <c r="O163" i="3"/>
  <c r="O161" i="3"/>
  <c r="A160" i="3"/>
  <c r="A164" i="3" s="1"/>
  <c r="A168" i="3" s="1"/>
  <c r="B148" i="3"/>
  <c r="B144" i="3"/>
  <c r="B143" i="3"/>
  <c r="M133" i="3"/>
  <c r="F133" i="3"/>
  <c r="O132" i="3"/>
  <c r="I146" i="3" s="1"/>
  <c r="O130" i="3"/>
  <c r="O128" i="3"/>
  <c r="O126" i="3"/>
  <c r="A125" i="3"/>
  <c r="A127" i="3" s="1"/>
  <c r="A131" i="3" s="1"/>
  <c r="O124" i="3"/>
  <c r="A123" i="3"/>
  <c r="B111" i="3"/>
  <c r="J107" i="3"/>
  <c r="K107" i="3" s="1"/>
  <c r="J144" i="3" s="1"/>
  <c r="K144" i="3" s="1"/>
  <c r="J181" i="3" s="1"/>
  <c r="K181" i="3" s="1"/>
  <c r="J218" i="3" s="1"/>
  <c r="B107" i="3"/>
  <c r="B106" i="3"/>
  <c r="M96" i="3"/>
  <c r="F96" i="3"/>
  <c r="O95" i="3"/>
  <c r="A94" i="3"/>
  <c r="O93" i="3"/>
  <c r="O91" i="3"/>
  <c r="O89" i="3"/>
  <c r="O87" i="3"/>
  <c r="B74" i="3"/>
  <c r="K73" i="3"/>
  <c r="J110" i="3" s="1"/>
  <c r="K110" i="3" s="1"/>
  <c r="J147" i="3" s="1"/>
  <c r="K147" i="3" s="1"/>
  <c r="J184" i="3" s="1"/>
  <c r="K184" i="3" s="1"/>
  <c r="J221" i="3" s="1"/>
  <c r="K221" i="3" s="1"/>
  <c r="J260" i="3" s="1"/>
  <c r="K260" i="3" s="1"/>
  <c r="J299" i="3" s="1"/>
  <c r="K299" i="3" s="1"/>
  <c r="J338" i="3" s="1"/>
  <c r="K338" i="3" s="1"/>
  <c r="J375" i="3" s="1"/>
  <c r="K375" i="3" s="1"/>
  <c r="J416" i="3" s="1"/>
  <c r="K416" i="3" s="1"/>
  <c r="J454" i="3" s="1"/>
  <c r="K454" i="3" s="1"/>
  <c r="J492" i="3" s="1"/>
  <c r="K492" i="3" s="1"/>
  <c r="J529" i="3" s="1"/>
  <c r="K529" i="3" s="1"/>
  <c r="J562" i="3" s="1"/>
  <c r="C73" i="3"/>
  <c r="D73" i="3" s="1"/>
  <c r="C110" i="3" s="1"/>
  <c r="D110" i="3" s="1"/>
  <c r="C147" i="3" s="1"/>
  <c r="D147" i="3" s="1"/>
  <c r="C184" i="3" s="1"/>
  <c r="D184" i="3" s="1"/>
  <c r="C221" i="3" s="1"/>
  <c r="D221" i="3" s="1"/>
  <c r="C260" i="3" s="1"/>
  <c r="D260" i="3" s="1"/>
  <c r="C299" i="3" s="1"/>
  <c r="D299" i="3" s="1"/>
  <c r="C338" i="3" s="1"/>
  <c r="D338" i="3" s="1"/>
  <c r="I72" i="3"/>
  <c r="C71" i="3"/>
  <c r="D71" i="3" s="1"/>
  <c r="C108" i="3" s="1"/>
  <c r="D108" i="3" s="1"/>
  <c r="C145" i="3" s="1"/>
  <c r="D145" i="3" s="1"/>
  <c r="C182" i="3" s="1"/>
  <c r="D182" i="3" s="1"/>
  <c r="C219" i="3" s="1"/>
  <c r="K70" i="3"/>
  <c r="I69" i="3"/>
  <c r="C69" i="3"/>
  <c r="D69" i="3" s="1"/>
  <c r="B69" i="3"/>
  <c r="M61" i="3"/>
  <c r="M60" i="3"/>
  <c r="M59" i="3"/>
  <c r="F59" i="3"/>
  <c r="O58" i="3"/>
  <c r="O56" i="3"/>
  <c r="A55" i="3"/>
  <c r="A86" i="3" s="1"/>
  <c r="A88" i="3" s="1"/>
  <c r="A90" i="3" s="1"/>
  <c r="O54" i="3"/>
  <c r="O52" i="3"/>
  <c r="O50" i="3"/>
  <c r="J37" i="3"/>
  <c r="C37" i="3"/>
  <c r="F23" i="3" s="1"/>
  <c r="B37" i="3"/>
  <c r="K36" i="3"/>
  <c r="J73" i="3" s="1"/>
  <c r="D36" i="3"/>
  <c r="D35" i="3"/>
  <c r="C72" i="3" s="1"/>
  <c r="D72" i="3" s="1"/>
  <c r="C109" i="3" s="1"/>
  <c r="D109" i="3" s="1"/>
  <c r="C146" i="3" s="1"/>
  <c r="D146" i="3" s="1"/>
  <c r="C183" i="3" s="1"/>
  <c r="D183" i="3" s="1"/>
  <c r="C220" i="3" s="1"/>
  <c r="D220" i="3" s="1"/>
  <c r="C259" i="3" s="1"/>
  <c r="D259" i="3" s="1"/>
  <c r="C298" i="3" s="1"/>
  <c r="D298" i="3" s="1"/>
  <c r="C337" i="3" s="1"/>
  <c r="D337" i="3" s="1"/>
  <c r="C374" i="3" s="1"/>
  <c r="K34" i="3"/>
  <c r="J71" i="3" s="1"/>
  <c r="K71" i="3" s="1"/>
  <c r="J108" i="3" s="1"/>
  <c r="K108" i="3" s="1"/>
  <c r="J145" i="3" s="1"/>
  <c r="K145" i="3" s="1"/>
  <c r="D34" i="3"/>
  <c r="K33" i="3"/>
  <c r="J70" i="3" s="1"/>
  <c r="D33" i="3"/>
  <c r="I32" i="3"/>
  <c r="D32" i="3"/>
  <c r="M24" i="3"/>
  <c r="M22" i="3"/>
  <c r="F22" i="3"/>
  <c r="F24" i="3" s="1"/>
  <c r="O21" i="3"/>
  <c r="O19" i="3"/>
  <c r="I35" i="3" s="1"/>
  <c r="K35" i="3" s="1"/>
  <c r="J72" i="3" s="1"/>
  <c r="O17" i="3"/>
  <c r="O15" i="3"/>
  <c r="A14" i="3"/>
  <c r="A49" i="3" s="1"/>
  <c r="A51" i="3" s="1"/>
  <c r="O13" i="3"/>
  <c r="H20" i="2"/>
  <c r="F20" i="2"/>
  <c r="D20" i="2"/>
  <c r="B20" i="2"/>
  <c r="G20" i="2" s="1"/>
  <c r="F27" i="1"/>
  <c r="D27" i="1"/>
  <c r="G22" i="1"/>
  <c r="D22" i="1"/>
  <c r="G27" i="1" l="1"/>
  <c r="J597" i="3"/>
  <c r="K597" i="3" s="1"/>
  <c r="K562" i="3"/>
  <c r="A1020" i="3"/>
  <c r="A1022" i="3" s="1"/>
  <c r="A1024" i="3" s="1"/>
  <c r="A983" i="3"/>
  <c r="A989" i="3" s="1"/>
  <c r="I2718" i="3"/>
  <c r="K560" i="3"/>
  <c r="J595" i="3" s="1"/>
  <c r="K595" i="3" s="1"/>
  <c r="K1298" i="3"/>
  <c r="J1335" i="3" s="1"/>
  <c r="K1335" i="3" s="1"/>
  <c r="J1372" i="3" s="1"/>
  <c r="K1372" i="3" s="1"/>
  <c r="J1409" i="3" s="1"/>
  <c r="K1409" i="3" s="1"/>
  <c r="J1446" i="3" s="1"/>
  <c r="I1448" i="3"/>
  <c r="K1446" i="3"/>
  <c r="J1485" i="3" s="1"/>
  <c r="K1485" i="3" s="1"/>
  <c r="J1524" i="3" s="1"/>
  <c r="K1524" i="3" s="1"/>
  <c r="J1561" i="3" s="1"/>
  <c r="I1861" i="3"/>
  <c r="I2981" i="3"/>
  <c r="J665" i="3"/>
  <c r="B417" i="3"/>
  <c r="K72" i="3"/>
  <c r="J109" i="3" s="1"/>
  <c r="K1111" i="3"/>
  <c r="J1148" i="3" s="1"/>
  <c r="I1115" i="3"/>
  <c r="I148" i="3"/>
  <c r="D219" i="3"/>
  <c r="C258" i="3" s="1"/>
  <c r="D258" i="3" s="1"/>
  <c r="C297" i="3" s="1"/>
  <c r="D297" i="3" s="1"/>
  <c r="C336" i="3" s="1"/>
  <c r="D336" i="3" s="1"/>
  <c r="C373" i="3" s="1"/>
  <c r="D373" i="3" s="1"/>
  <c r="C414" i="3" s="1"/>
  <c r="D414" i="3" s="1"/>
  <c r="C452" i="3" s="1"/>
  <c r="D452" i="3" s="1"/>
  <c r="C490" i="3" s="1"/>
  <c r="D490" i="3" s="1"/>
  <c r="C527" i="3" s="1"/>
  <c r="D527" i="3" s="1"/>
  <c r="C560" i="3" s="1"/>
  <c r="D560" i="3" s="1"/>
  <c r="C595" i="3" s="1"/>
  <c r="D595" i="3" s="1"/>
  <c r="C630" i="3" s="1"/>
  <c r="D630" i="3" s="1"/>
  <c r="C666" i="3" s="1"/>
  <c r="D666" i="3" s="1"/>
  <c r="C703" i="3" s="1"/>
  <c r="D703" i="3" s="1"/>
  <c r="C742" i="3" s="1"/>
  <c r="D742" i="3" s="1"/>
  <c r="C779" i="3" s="1"/>
  <c r="D779" i="3" s="1"/>
  <c r="C814" i="3" s="1"/>
  <c r="D814" i="3" s="1"/>
  <c r="C851" i="3" s="1"/>
  <c r="D851" i="3" s="1"/>
  <c r="C890" i="3" s="1"/>
  <c r="D890" i="3" s="1"/>
  <c r="C927" i="3" s="1"/>
  <c r="D927" i="3" s="1"/>
  <c r="C966" i="3" s="1"/>
  <c r="D966" i="3" s="1"/>
  <c r="C1005" i="3" s="1"/>
  <c r="D1005" i="3" s="1"/>
  <c r="C1040" i="3" s="1"/>
  <c r="D1040" i="3" s="1"/>
  <c r="C1075" i="3" s="1"/>
  <c r="D1075" i="3" s="1"/>
  <c r="C1112" i="3" s="1"/>
  <c r="D1112" i="3" s="1"/>
  <c r="C1149" i="3" s="1"/>
  <c r="D1149" i="3" s="1"/>
  <c r="C1186" i="3" s="1"/>
  <c r="D1186" i="3" s="1"/>
  <c r="C1223" i="3" s="1"/>
  <c r="D1223" i="3" s="1"/>
  <c r="C1260" i="3" s="1"/>
  <c r="D1260" i="3" s="1"/>
  <c r="C1297" i="3" s="1"/>
  <c r="D1297" i="3" s="1"/>
  <c r="C1334" i="3" s="1"/>
  <c r="D1334" i="3" s="1"/>
  <c r="C1373" i="3" s="1"/>
  <c r="D1373" i="3" s="1"/>
  <c r="C1410" i="3" s="1"/>
  <c r="D1410" i="3" s="1"/>
  <c r="C1447" i="3" s="1"/>
  <c r="D1447" i="3" s="1"/>
  <c r="I1147" i="3"/>
  <c r="O1128" i="3"/>
  <c r="I1148" i="3" s="1"/>
  <c r="K1148" i="3" s="1"/>
  <c r="J1185" i="3" s="1"/>
  <c r="K1185" i="3" s="1"/>
  <c r="J1222" i="3" s="1"/>
  <c r="K1222" i="3" s="1"/>
  <c r="J1259" i="3" s="1"/>
  <c r="K1259" i="3" s="1"/>
  <c r="J1296" i="3" s="1"/>
  <c r="K1296" i="3" s="1"/>
  <c r="J1333" i="3" s="1"/>
  <c r="D74" i="3"/>
  <c r="C106" i="3"/>
  <c r="C111" i="3" s="1"/>
  <c r="F97" i="3" s="1"/>
  <c r="F98" i="3" s="1"/>
  <c r="F134" i="3" s="1"/>
  <c r="F135" i="3" s="1"/>
  <c r="F171" i="3" s="1"/>
  <c r="F172" i="3" s="1"/>
  <c r="F208" i="3" s="1"/>
  <c r="F209" i="3" s="1"/>
  <c r="F247" i="3" s="1"/>
  <c r="F248" i="3" s="1"/>
  <c r="F286" i="3" s="1"/>
  <c r="F287" i="3" s="1"/>
  <c r="F325" i="3" s="1"/>
  <c r="F326" i="3" s="1"/>
  <c r="F362" i="3" s="1"/>
  <c r="F363" i="3" s="1"/>
  <c r="F403" i="3" s="1"/>
  <c r="F404" i="3" s="1"/>
  <c r="F441" i="3" s="1"/>
  <c r="F442" i="3" s="1"/>
  <c r="F479" i="3" s="1"/>
  <c r="F480" i="3" s="1"/>
  <c r="F516" i="3" s="1"/>
  <c r="F517" i="3" s="1"/>
  <c r="F549" i="3" s="1"/>
  <c r="F550" i="3" s="1"/>
  <c r="F584" i="3" s="1"/>
  <c r="F585" i="3" s="1"/>
  <c r="F619" i="3" s="1"/>
  <c r="F620" i="3" s="1"/>
  <c r="F655" i="3" s="1"/>
  <c r="F656" i="3" s="1"/>
  <c r="F692" i="3" s="1"/>
  <c r="F693" i="3" s="1"/>
  <c r="F731" i="3" s="1"/>
  <c r="F732" i="3" s="1"/>
  <c r="F768" i="3" s="1"/>
  <c r="F769" i="3" s="1"/>
  <c r="F803" i="3" s="1"/>
  <c r="F804" i="3" s="1"/>
  <c r="F840" i="3" s="1"/>
  <c r="F841" i="3" s="1"/>
  <c r="F879" i="3" s="1"/>
  <c r="F880" i="3" s="1"/>
  <c r="F916" i="3" s="1"/>
  <c r="F917" i="3" s="1"/>
  <c r="F955" i="3" s="1"/>
  <c r="F956" i="3" s="1"/>
  <c r="F994" i="3" s="1"/>
  <c r="F995" i="3" s="1"/>
  <c r="F1029" i="3" s="1"/>
  <c r="F1030" i="3" s="1"/>
  <c r="F1064" i="3" s="1"/>
  <c r="F1065" i="3" s="1"/>
  <c r="F1101" i="3" s="1"/>
  <c r="F1102" i="3" s="1"/>
  <c r="F1138" i="3" s="1"/>
  <c r="F1139" i="3" s="1"/>
  <c r="F1175" i="3" s="1"/>
  <c r="F1176" i="3" s="1"/>
  <c r="F1212" i="3" s="1"/>
  <c r="F1213" i="3" s="1"/>
  <c r="F1249" i="3" s="1"/>
  <c r="F1250" i="3" s="1"/>
  <c r="F1286" i="3" s="1"/>
  <c r="F1287" i="3" s="1"/>
  <c r="F1323" i="3" s="1"/>
  <c r="F1324" i="3" s="1"/>
  <c r="F1362" i="3" s="1"/>
  <c r="F1363" i="3" s="1"/>
  <c r="F1399" i="3" s="1"/>
  <c r="F1400" i="3" s="1"/>
  <c r="F1436" i="3" s="1"/>
  <c r="F1437" i="3" s="1"/>
  <c r="I2681" i="3"/>
  <c r="I815" i="3"/>
  <c r="K558" i="3"/>
  <c r="I563" i="3"/>
  <c r="I3311" i="3"/>
  <c r="B817" i="3"/>
  <c r="I2344" i="3"/>
  <c r="I2605" i="3"/>
  <c r="I2157" i="3"/>
  <c r="I3203" i="3"/>
  <c r="I3385" i="3"/>
  <c r="I3496" i="3"/>
  <c r="I2381" i="3"/>
  <c r="K372" i="3"/>
  <c r="J413" i="3" s="1"/>
  <c r="C70" i="3"/>
  <c r="D37" i="3"/>
  <c r="K1224" i="3"/>
  <c r="J1261" i="3" s="1"/>
  <c r="K1261" i="3" s="1"/>
  <c r="J1298" i="3" s="1"/>
  <c r="I3347" i="3"/>
  <c r="I1972" i="3"/>
  <c r="K3090" i="3"/>
  <c r="J3127" i="3" s="1"/>
  <c r="K3127" i="3" s="1"/>
  <c r="J3164" i="3" s="1"/>
  <c r="K3164" i="3" s="1"/>
  <c r="J3203" i="3" s="1"/>
  <c r="K778" i="3"/>
  <c r="J813" i="3" s="1"/>
  <c r="K813" i="3" s="1"/>
  <c r="J850" i="3" s="1"/>
  <c r="I3419" i="3"/>
  <c r="I1635" i="3"/>
  <c r="M730" i="3"/>
  <c r="M766" i="3" s="1"/>
  <c r="M767" i="3" s="1"/>
  <c r="M801" i="3" s="1"/>
  <c r="B1488" i="3"/>
  <c r="D1483" i="3"/>
  <c r="D1488" i="3" s="1"/>
  <c r="I2792" i="3"/>
  <c r="I2531" i="3"/>
  <c r="O943" i="3"/>
  <c r="I963" i="3" s="1"/>
  <c r="I962" i="3"/>
  <c r="I2233" i="3"/>
  <c r="O202" i="3"/>
  <c r="I218" i="3" s="1"/>
  <c r="K218" i="3" s="1"/>
  <c r="J257" i="3" s="1"/>
  <c r="K257" i="3" s="1"/>
  <c r="J296" i="3" s="1"/>
  <c r="K296" i="3" s="1"/>
  <c r="J335" i="3" s="1"/>
  <c r="K335" i="3" s="1"/>
  <c r="J372" i="3" s="1"/>
  <c r="K1187" i="3"/>
  <c r="J1224" i="3" s="1"/>
  <c r="I376" i="3"/>
  <c r="I3092" i="3"/>
  <c r="B185" i="3"/>
  <c r="I852" i="3"/>
  <c r="I2568" i="3"/>
  <c r="I222" i="3"/>
  <c r="B530" i="3"/>
  <c r="J701" i="3"/>
  <c r="D374" i="3"/>
  <c r="C415" i="3" s="1"/>
  <c r="D415" i="3" s="1"/>
  <c r="C453" i="3" s="1"/>
  <c r="D453" i="3" s="1"/>
  <c r="C491" i="3" s="1"/>
  <c r="D491" i="3" s="1"/>
  <c r="C528" i="3" s="1"/>
  <c r="D528" i="3" s="1"/>
  <c r="C561" i="3" s="1"/>
  <c r="D561" i="3" s="1"/>
  <c r="C596" i="3" s="1"/>
  <c r="D596" i="3" s="1"/>
  <c r="C631" i="3" s="1"/>
  <c r="D631" i="3" s="1"/>
  <c r="C667" i="3" s="1"/>
  <c r="D667" i="3" s="1"/>
  <c r="C704" i="3" s="1"/>
  <c r="D704" i="3" s="1"/>
  <c r="C743" i="3" s="1"/>
  <c r="D743" i="3" s="1"/>
  <c r="C780" i="3" s="1"/>
  <c r="D780" i="3" s="1"/>
  <c r="C815" i="3" s="1"/>
  <c r="D815" i="3" s="1"/>
  <c r="C852" i="3" s="1"/>
  <c r="D852" i="3" s="1"/>
  <c r="C891" i="3" s="1"/>
  <c r="D891" i="3" s="1"/>
  <c r="C928" i="3" s="1"/>
  <c r="D928" i="3" s="1"/>
  <c r="C967" i="3" s="1"/>
  <c r="D967" i="3" s="1"/>
  <c r="C1006" i="3" s="1"/>
  <c r="D1006" i="3" s="1"/>
  <c r="C1041" i="3" s="1"/>
  <c r="D1041" i="3" s="1"/>
  <c r="C1076" i="3" s="1"/>
  <c r="D1076" i="3" s="1"/>
  <c r="C1113" i="3" s="1"/>
  <c r="D1113" i="3" s="1"/>
  <c r="C1150" i="3" s="1"/>
  <c r="D1150" i="3" s="1"/>
  <c r="C1187" i="3" s="1"/>
  <c r="D1187" i="3" s="1"/>
  <c r="C1224" i="3" s="1"/>
  <c r="D1224" i="3" s="1"/>
  <c r="C1261" i="3" s="1"/>
  <c r="D1261" i="3" s="1"/>
  <c r="C1298" i="3" s="1"/>
  <c r="D1298" i="3" s="1"/>
  <c r="C1335" i="3" s="1"/>
  <c r="D1335" i="3" s="1"/>
  <c r="C1374" i="3" s="1"/>
  <c r="D1374" i="3" s="1"/>
  <c r="C1411" i="3" s="1"/>
  <c r="D1411" i="3" s="1"/>
  <c r="C1448" i="3" s="1"/>
  <c r="D1448" i="3" s="1"/>
  <c r="I2046" i="3"/>
  <c r="I2196" i="3"/>
  <c r="B455" i="3"/>
  <c r="I455" i="3"/>
  <c r="I1006" i="3"/>
  <c r="I109" i="3"/>
  <c r="I3055" i="3"/>
  <c r="K3617" i="3"/>
  <c r="I493" i="3"/>
  <c r="M802" i="3"/>
  <c r="M838" i="3" s="1"/>
  <c r="M839" i="3" s="1"/>
  <c r="M877" i="3" s="1"/>
  <c r="I2455" i="3"/>
  <c r="I259" i="3"/>
  <c r="K374" i="3"/>
  <c r="J415" i="3" s="1"/>
  <c r="M585" i="3"/>
  <c r="I1748" i="3"/>
  <c r="I1824" i="3"/>
  <c r="I3457" i="3"/>
  <c r="I1787" i="3"/>
  <c r="B969" i="3"/>
  <c r="I1711" i="3"/>
  <c r="I3162" i="3"/>
  <c r="I3275" i="3"/>
  <c r="K413" i="3"/>
  <c r="J451" i="3" s="1"/>
  <c r="K451" i="3" s="1"/>
  <c r="J489" i="3" s="1"/>
  <c r="K489" i="3" s="1"/>
  <c r="J526" i="3" s="1"/>
  <c r="K526" i="3" s="1"/>
  <c r="I739" i="3"/>
  <c r="M1176" i="3"/>
  <c r="M1212" i="3" s="1"/>
  <c r="M1213" i="3" s="1"/>
  <c r="M1249" i="3" s="1"/>
  <c r="M1250" i="3" s="1"/>
  <c r="M1286" i="3" s="1"/>
  <c r="M1287" i="3" s="1"/>
  <c r="M1323" i="3" s="1"/>
  <c r="M1324" i="3" s="1"/>
  <c r="M1360" i="3" s="1"/>
  <c r="M1361" i="3" s="1"/>
  <c r="M1397" i="3" s="1"/>
  <c r="M1398" i="3" s="1"/>
  <c r="M1434" i="3" s="1"/>
  <c r="M1435" i="3" s="1"/>
  <c r="M1473" i="3" s="1"/>
  <c r="M1474" i="3" s="1"/>
  <c r="M1512" i="3" s="1"/>
  <c r="M1513" i="3" s="1"/>
  <c r="M1549" i="3" s="1"/>
  <c r="M1550" i="3" s="1"/>
  <c r="M1586" i="3" s="1"/>
  <c r="M1587" i="3" s="1"/>
  <c r="M1623" i="3" s="1"/>
  <c r="M1624" i="3" s="1"/>
  <c r="M1660" i="3" s="1"/>
  <c r="M1661" i="3" s="1"/>
  <c r="M1697" i="3" s="1"/>
  <c r="M1698" i="3" s="1"/>
  <c r="M1736" i="3" s="1"/>
  <c r="M1737" i="3" s="1"/>
  <c r="M1773" i="3" s="1"/>
  <c r="M1774" i="3" s="1"/>
  <c r="M1810" i="3" s="1"/>
  <c r="M1811" i="3" s="1"/>
  <c r="M1847" i="3" s="1"/>
  <c r="M1848" i="3" s="1"/>
  <c r="M1884" i="3" s="1"/>
  <c r="M1885" i="3" s="1"/>
  <c r="M1921" i="3" s="1"/>
  <c r="M1922" i="3" s="1"/>
  <c r="M1958" i="3" s="1"/>
  <c r="M1959" i="3" s="1"/>
  <c r="M1995" i="3" s="1"/>
  <c r="M1996" i="3" s="1"/>
  <c r="M2032" i="3" s="1"/>
  <c r="M2033" i="3" s="1"/>
  <c r="M2069" i="3" s="1"/>
  <c r="M2070" i="3" s="1"/>
  <c r="M2106" i="3" s="1"/>
  <c r="M2107" i="3" s="1"/>
  <c r="M2143" i="3" s="1"/>
  <c r="M2144" i="3" s="1"/>
  <c r="M2182" i="3" s="1"/>
  <c r="M2183" i="3" s="1"/>
  <c r="M2219" i="3" s="1"/>
  <c r="M2220" i="3" s="1"/>
  <c r="M2256" i="3" s="1"/>
  <c r="M2257" i="3" s="1"/>
  <c r="M2293" i="3" s="1"/>
  <c r="M2294" i="3" s="1"/>
  <c r="M2330" i="3" s="1"/>
  <c r="M2331" i="3" s="1"/>
  <c r="M2367" i="3" s="1"/>
  <c r="M2368" i="3" s="1"/>
  <c r="M2404" i="3" s="1"/>
  <c r="M2405" i="3" s="1"/>
  <c r="M2441" i="3" s="1"/>
  <c r="M2442" i="3" s="1"/>
  <c r="M2480" i="3" s="1"/>
  <c r="M2481" i="3" s="1"/>
  <c r="M2517" i="3" s="1"/>
  <c r="M2518" i="3" s="1"/>
  <c r="M2554" i="3" s="1"/>
  <c r="M2555" i="3" s="1"/>
  <c r="M2591" i="3" s="1"/>
  <c r="M2592" i="3" s="1"/>
  <c r="M2630" i="3" s="1"/>
  <c r="M2631" i="3" s="1"/>
  <c r="M2667" i="3" s="1"/>
  <c r="M2668" i="3" s="1"/>
  <c r="M2704" i="3" s="1"/>
  <c r="M2705" i="3" s="1"/>
  <c r="M2741" i="3" s="1"/>
  <c r="M2742" i="3" s="1"/>
  <c r="M2778" i="3" s="1"/>
  <c r="M2779" i="3" s="1"/>
  <c r="M2817" i="3" s="1"/>
  <c r="M2818" i="3" s="1"/>
  <c r="M2856" i="3" s="1"/>
  <c r="M2857" i="3" s="1"/>
  <c r="M2893" i="3" s="1"/>
  <c r="M2894" i="3" s="1"/>
  <c r="M2930" i="3" s="1"/>
  <c r="M2931" i="3" s="1"/>
  <c r="M2967" i="3" s="1"/>
  <c r="M2968" i="3" s="1"/>
  <c r="M3004" i="3" s="1"/>
  <c r="M3005" i="3" s="1"/>
  <c r="M3041" i="3" s="1"/>
  <c r="M3042" i="3" s="1"/>
  <c r="M3078" i="3" s="1"/>
  <c r="M3079" i="3" s="1"/>
  <c r="M3115" i="3" s="1"/>
  <c r="M3116" i="3" s="1"/>
  <c r="M3152" i="3" s="1"/>
  <c r="M3153" i="3" s="1"/>
  <c r="M3191" i="3" s="1"/>
  <c r="M3192" i="3" s="1"/>
  <c r="M3226" i="3" s="1"/>
  <c r="M3227" i="3" s="1"/>
  <c r="M3261" i="3" s="1"/>
  <c r="M3262" i="3" s="1"/>
  <c r="M3297" i="3" s="1"/>
  <c r="M3298" i="3" s="1"/>
  <c r="M3336" i="3" s="1"/>
  <c r="M3337" i="3" s="1"/>
  <c r="M3371" i="3" s="1"/>
  <c r="M3372" i="3" s="1"/>
  <c r="M3407" i="3" s="1"/>
  <c r="M3408" i="3" s="1"/>
  <c r="M3447" i="3" s="1"/>
  <c r="M3448" i="3" s="1"/>
  <c r="M3482" i="3" s="1"/>
  <c r="M3483" i="3" s="1"/>
  <c r="M3522" i="3" s="1"/>
  <c r="M3523" i="3" s="1"/>
  <c r="M3570" i="3" s="1"/>
  <c r="M3571" i="3" s="1"/>
  <c r="I1295" i="3"/>
  <c r="I1898" i="3"/>
  <c r="I2270" i="3"/>
  <c r="I415" i="3"/>
  <c r="I1859" i="3"/>
  <c r="B1263" i="3"/>
  <c r="I2640" i="3"/>
  <c r="I2866" i="3"/>
  <c r="I3014" i="3"/>
  <c r="I1184" i="3"/>
  <c r="I37" i="3"/>
  <c r="I1333" i="3"/>
  <c r="K32" i="3"/>
  <c r="B854" i="3"/>
  <c r="I1407" i="3"/>
  <c r="I2116" i="3"/>
  <c r="I2340" i="3"/>
  <c r="I2451" i="3"/>
  <c r="I3617" i="3"/>
  <c r="I74" i="3"/>
  <c r="I1041" i="3"/>
  <c r="I298" i="3"/>
  <c r="I665" i="3"/>
  <c r="I2229" i="3"/>
  <c r="I2307" i="3"/>
  <c r="K2493" i="3"/>
  <c r="J2530" i="3" s="1"/>
  <c r="K2530" i="3" s="1"/>
  <c r="J2567" i="3" s="1"/>
  <c r="K2567" i="3" s="1"/>
  <c r="J2604" i="3" s="1"/>
  <c r="K2604" i="3" s="1"/>
  <c r="J2643" i="3" s="1"/>
  <c r="K2643" i="3" s="1"/>
  <c r="J2680" i="3" s="1"/>
  <c r="K2680" i="3" s="1"/>
  <c r="J2717" i="3" s="1"/>
  <c r="K2717" i="3" s="1"/>
  <c r="J2754" i="3" s="1"/>
  <c r="K2754" i="3" s="1"/>
  <c r="J2791" i="3" s="1"/>
  <c r="K2791" i="3" s="1"/>
  <c r="J2830" i="3" s="1"/>
  <c r="K2830" i="3" s="1"/>
  <c r="J2869" i="3" s="1"/>
  <c r="K2869" i="3" s="1"/>
  <c r="J2906" i="3" s="1"/>
  <c r="K2906" i="3" s="1"/>
  <c r="J2943" i="3" s="1"/>
  <c r="K2943" i="3" s="1"/>
  <c r="J2980" i="3" s="1"/>
  <c r="K2980" i="3" s="1"/>
  <c r="J3017" i="3" s="1"/>
  <c r="K3017" i="3" s="1"/>
  <c r="J3054" i="3" s="1"/>
  <c r="K3054" i="3" s="1"/>
  <c r="J3091" i="3" s="1"/>
  <c r="K3091" i="3" s="1"/>
  <c r="J3128" i="3" s="1"/>
  <c r="K3128" i="3" s="1"/>
  <c r="J3165" i="3" s="1"/>
  <c r="K3165" i="3" s="1"/>
  <c r="J3204" i="3" s="1"/>
  <c r="K3204" i="3" s="1"/>
  <c r="J3239" i="3" s="1"/>
  <c r="K3239" i="3" s="1"/>
  <c r="J3274" i="3" s="1"/>
  <c r="K3274" i="3" s="1"/>
  <c r="J3310" i="3" s="1"/>
  <c r="K3310" i="3" s="1"/>
  <c r="J3349" i="3" s="1"/>
  <c r="K3349" i="3" s="1"/>
  <c r="J3384" i="3" s="1"/>
  <c r="K3384" i="3" s="1"/>
  <c r="J3420" i="3" s="1"/>
  <c r="K3420" i="3" s="1"/>
  <c r="J3460" i="3" s="1"/>
  <c r="K3460" i="3" s="1"/>
  <c r="J3495" i="3" s="1"/>
  <c r="K3495" i="3" s="1"/>
  <c r="J3535" i="3" s="1"/>
  <c r="K3535" i="3" s="1"/>
  <c r="J3583" i="3" s="1"/>
  <c r="K3583" i="3" s="1"/>
  <c r="K850" i="3"/>
  <c r="J889" i="3" s="1"/>
  <c r="K889" i="3" s="1"/>
  <c r="J926" i="3" s="1"/>
  <c r="K926" i="3" s="1"/>
  <c r="J965" i="3" s="1"/>
  <c r="K965" i="3" s="1"/>
  <c r="J1004" i="3" s="1"/>
  <c r="K1004" i="3" s="1"/>
  <c r="J1039" i="3" s="1"/>
  <c r="K1039" i="3" s="1"/>
  <c r="I1561" i="3"/>
  <c r="M878" i="3"/>
  <c r="M914" i="3" s="1"/>
  <c r="M915" i="3" s="1"/>
  <c r="M953" i="3" s="1"/>
  <c r="M954" i="3" s="1"/>
  <c r="M992" i="3" s="1"/>
  <c r="M993" i="3" s="1"/>
  <c r="M1027" i="3" s="1"/>
  <c r="M1028" i="3" s="1"/>
  <c r="J1110" i="3"/>
  <c r="I1522" i="3"/>
  <c r="I3018" i="3"/>
  <c r="I2083" i="3"/>
  <c r="I2414" i="3"/>
  <c r="I2418" i="3" s="1"/>
  <c r="I2755" i="3"/>
  <c r="I2944" i="3"/>
  <c r="I780" i="3"/>
  <c r="I2827" i="3"/>
  <c r="I3129" i="3"/>
  <c r="I3461" i="3"/>
  <c r="H27" i="1" l="1"/>
  <c r="B27" i="1"/>
  <c r="I111" i="3"/>
  <c r="K109" i="3"/>
  <c r="J146" i="3" s="1"/>
  <c r="K146" i="3" s="1"/>
  <c r="J183" i="3" s="1"/>
  <c r="K183" i="3" s="1"/>
  <c r="J220" i="3" s="1"/>
  <c r="K220" i="3" s="1"/>
  <c r="J259" i="3" s="1"/>
  <c r="K37" i="3"/>
  <c r="J69" i="3"/>
  <c r="I1526" i="3"/>
  <c r="I3166" i="3"/>
  <c r="I1637" i="3"/>
  <c r="K1635" i="3"/>
  <c r="J1672" i="3" s="1"/>
  <c r="K1672" i="3" s="1"/>
  <c r="J1709" i="3" s="1"/>
  <c r="K1709" i="3" s="1"/>
  <c r="J1748" i="3" s="1"/>
  <c r="K1748" i="3" s="1"/>
  <c r="J1785" i="3" s="1"/>
  <c r="K1785" i="3" s="1"/>
  <c r="J1822" i="3" s="1"/>
  <c r="K1822" i="3" s="1"/>
  <c r="J1859" i="3" s="1"/>
  <c r="K1859" i="3" s="1"/>
  <c r="J1896" i="3" s="1"/>
  <c r="K1896" i="3" s="1"/>
  <c r="J1933" i="3" s="1"/>
  <c r="K1933" i="3" s="1"/>
  <c r="J1970" i="3" s="1"/>
  <c r="K1970" i="3" s="1"/>
  <c r="J2007" i="3" s="1"/>
  <c r="K2007" i="3" s="1"/>
  <c r="J2044" i="3" s="1"/>
  <c r="K2044" i="3" s="1"/>
  <c r="J2081" i="3" s="1"/>
  <c r="K2081" i="3" s="1"/>
  <c r="J2118" i="3" s="1"/>
  <c r="K2118" i="3" s="1"/>
  <c r="J2155" i="3" s="1"/>
  <c r="K2155" i="3" s="1"/>
  <c r="J2194" i="3" s="1"/>
  <c r="K2194" i="3" s="1"/>
  <c r="J2231" i="3" s="1"/>
  <c r="K2231" i="3" s="1"/>
  <c r="J2268" i="3" s="1"/>
  <c r="K2268" i="3" s="1"/>
  <c r="J2305" i="3" s="1"/>
  <c r="K2305" i="3" s="1"/>
  <c r="J2342" i="3" s="1"/>
  <c r="K2342" i="3" s="1"/>
  <c r="I2831" i="3"/>
  <c r="J593" i="3"/>
  <c r="D106" i="3"/>
  <c r="K1333" i="3"/>
  <c r="J1370" i="3" s="1"/>
  <c r="K1370" i="3" s="1"/>
  <c r="J1407" i="3" s="1"/>
  <c r="K1407" i="3" s="1"/>
  <c r="J1444" i="3" s="1"/>
  <c r="K1444" i="3" s="1"/>
  <c r="J1483" i="3" s="1"/>
  <c r="K1483" i="3" s="1"/>
  <c r="J1522" i="3" s="1"/>
  <c r="K1522" i="3" s="1"/>
  <c r="J1559" i="3" s="1"/>
  <c r="K1559" i="3" s="1"/>
  <c r="J1596" i="3" s="1"/>
  <c r="K1596" i="3" s="1"/>
  <c r="J1633" i="3" s="1"/>
  <c r="K1633" i="3" s="1"/>
  <c r="J1670" i="3" s="1"/>
  <c r="K1670" i="3" s="1"/>
  <c r="J1707" i="3" s="1"/>
  <c r="K1707" i="3" s="1"/>
  <c r="J1746" i="3" s="1"/>
  <c r="K1746" i="3" s="1"/>
  <c r="J1783" i="3" s="1"/>
  <c r="K1783" i="3" s="1"/>
  <c r="J1820" i="3" s="1"/>
  <c r="K1820" i="3" s="1"/>
  <c r="J1857" i="3" s="1"/>
  <c r="K1857" i="3" s="1"/>
  <c r="J1894" i="3" s="1"/>
  <c r="K1894" i="3" s="1"/>
  <c r="J1931" i="3" s="1"/>
  <c r="K1931" i="3" s="1"/>
  <c r="J1968" i="3" s="1"/>
  <c r="K1968" i="3" s="1"/>
  <c r="J2005" i="3" s="1"/>
  <c r="K2005" i="3" s="1"/>
  <c r="J2042" i="3" s="1"/>
  <c r="K2042" i="3" s="1"/>
  <c r="J2079" i="3" s="1"/>
  <c r="K2079" i="3" s="1"/>
  <c r="J2116" i="3" s="1"/>
  <c r="K2116" i="3" s="1"/>
  <c r="J2153" i="3" s="1"/>
  <c r="K2153" i="3" s="1"/>
  <c r="J2192" i="3" s="1"/>
  <c r="K2192" i="3" s="1"/>
  <c r="J2229" i="3" s="1"/>
  <c r="K2229" i="3" s="1"/>
  <c r="J2266" i="3" s="1"/>
  <c r="K2266" i="3" s="1"/>
  <c r="J2303" i="3" s="1"/>
  <c r="K2303" i="3" s="1"/>
  <c r="J2340" i="3" s="1"/>
  <c r="K2340" i="3" s="1"/>
  <c r="J2377" i="3" s="1"/>
  <c r="K2377" i="3" s="1"/>
  <c r="J2414" i="3" s="1"/>
  <c r="K2414" i="3" s="1"/>
  <c r="J2451" i="3" s="1"/>
  <c r="K2451" i="3" s="1"/>
  <c r="J2490" i="3" s="1"/>
  <c r="K2490" i="3" s="1"/>
  <c r="J2527" i="3" s="1"/>
  <c r="K2527" i="3" s="1"/>
  <c r="J2564" i="3" s="1"/>
  <c r="K2564" i="3" s="1"/>
  <c r="J2601" i="3" s="1"/>
  <c r="K2601" i="3" s="1"/>
  <c r="J2640" i="3" s="1"/>
  <c r="K2640" i="3" s="1"/>
  <c r="J2677" i="3" s="1"/>
  <c r="K2677" i="3" s="1"/>
  <c r="J2714" i="3" s="1"/>
  <c r="K2714" i="3" s="1"/>
  <c r="J2751" i="3" s="1"/>
  <c r="K2751" i="3" s="1"/>
  <c r="J2788" i="3" s="1"/>
  <c r="K2788" i="3" s="1"/>
  <c r="J2827" i="3" s="1"/>
  <c r="K2827" i="3" s="1"/>
  <c r="J2866" i="3" s="1"/>
  <c r="K2866" i="3" s="1"/>
  <c r="J2903" i="3" s="1"/>
  <c r="K2903" i="3" s="1"/>
  <c r="J2940" i="3" s="1"/>
  <c r="K2940" i="3" s="1"/>
  <c r="J2977" i="3" s="1"/>
  <c r="K2977" i="3" s="1"/>
  <c r="J3014" i="3" s="1"/>
  <c r="K3014" i="3" s="1"/>
  <c r="J3051" i="3" s="1"/>
  <c r="K3051" i="3" s="1"/>
  <c r="J3088" i="3" s="1"/>
  <c r="K3088" i="3" s="1"/>
  <c r="J3125" i="3" s="1"/>
  <c r="K3125" i="3" s="1"/>
  <c r="J3162" i="3" s="1"/>
  <c r="K3162" i="3" s="1"/>
  <c r="J3201" i="3" s="1"/>
  <c r="K3201" i="3" s="1"/>
  <c r="J3236" i="3" s="1"/>
  <c r="K3236" i="3" s="1"/>
  <c r="J3271" i="3" s="1"/>
  <c r="K3271" i="3" s="1"/>
  <c r="J3307" i="3" s="1"/>
  <c r="K3307" i="3" s="1"/>
  <c r="J3346" i="3" s="1"/>
  <c r="K3346" i="3" s="1"/>
  <c r="J3381" i="3" s="1"/>
  <c r="K3381" i="3" s="1"/>
  <c r="J3417" i="3" s="1"/>
  <c r="K3417" i="3" s="1"/>
  <c r="J3457" i="3" s="1"/>
  <c r="K3457" i="3" s="1"/>
  <c r="J3492" i="3" s="1"/>
  <c r="K3492" i="3" s="1"/>
  <c r="J3532" i="3" s="1"/>
  <c r="K3532" i="3" s="1"/>
  <c r="J3580" i="3" s="1"/>
  <c r="K3580" i="3" s="1"/>
  <c r="I1750" i="3"/>
  <c r="K598" i="3"/>
  <c r="J630" i="3"/>
  <c r="K1110" i="3"/>
  <c r="I1337" i="3"/>
  <c r="I1189" i="3"/>
  <c r="K259" i="3"/>
  <c r="J298" i="3" s="1"/>
  <c r="I261" i="3"/>
  <c r="D70" i="3"/>
  <c r="C107" i="3" s="1"/>
  <c r="D107" i="3" s="1"/>
  <c r="C144" i="3" s="1"/>
  <c r="D144" i="3" s="1"/>
  <c r="C181" i="3" s="1"/>
  <c r="D181" i="3" s="1"/>
  <c r="C218" i="3" s="1"/>
  <c r="D218" i="3" s="1"/>
  <c r="C257" i="3" s="1"/>
  <c r="D257" i="3" s="1"/>
  <c r="C296" i="3" s="1"/>
  <c r="D296" i="3" s="1"/>
  <c r="C335" i="3" s="1"/>
  <c r="D335" i="3" s="1"/>
  <c r="C372" i="3" s="1"/>
  <c r="D372" i="3" s="1"/>
  <c r="C413" i="3" s="1"/>
  <c r="D413" i="3" s="1"/>
  <c r="C451" i="3" s="1"/>
  <c r="D451" i="3" s="1"/>
  <c r="C489" i="3" s="1"/>
  <c r="D489" i="3" s="1"/>
  <c r="C526" i="3" s="1"/>
  <c r="D526" i="3" s="1"/>
  <c r="C559" i="3" s="1"/>
  <c r="D559" i="3" s="1"/>
  <c r="C594" i="3" s="1"/>
  <c r="D594" i="3" s="1"/>
  <c r="C629" i="3" s="1"/>
  <c r="D629" i="3" s="1"/>
  <c r="C665" i="3" s="1"/>
  <c r="D665" i="3" s="1"/>
  <c r="C702" i="3" s="1"/>
  <c r="D702" i="3" s="1"/>
  <c r="C741" i="3" s="1"/>
  <c r="D741" i="3" s="1"/>
  <c r="C778" i="3" s="1"/>
  <c r="D778" i="3" s="1"/>
  <c r="C813" i="3" s="1"/>
  <c r="D813" i="3" s="1"/>
  <c r="C850" i="3" s="1"/>
  <c r="D850" i="3" s="1"/>
  <c r="C889" i="3" s="1"/>
  <c r="D889" i="3" s="1"/>
  <c r="C926" i="3" s="1"/>
  <c r="D926" i="3" s="1"/>
  <c r="C965" i="3" s="1"/>
  <c r="D965" i="3" s="1"/>
  <c r="C1004" i="3" s="1"/>
  <c r="D1004" i="3" s="1"/>
  <c r="C1039" i="3" s="1"/>
  <c r="D1039" i="3" s="1"/>
  <c r="C1074" i="3" s="1"/>
  <c r="D1074" i="3" s="1"/>
  <c r="C1111" i="3" s="1"/>
  <c r="D1111" i="3" s="1"/>
  <c r="C1148" i="3" s="1"/>
  <c r="D1148" i="3" s="1"/>
  <c r="C1185" i="3" s="1"/>
  <c r="D1185" i="3" s="1"/>
  <c r="C1222" i="3" s="1"/>
  <c r="D1222" i="3" s="1"/>
  <c r="C1259" i="3" s="1"/>
  <c r="D1259" i="3" s="1"/>
  <c r="C1296" i="3" s="1"/>
  <c r="D1296" i="3" s="1"/>
  <c r="C1333" i="3" s="1"/>
  <c r="D1333" i="3" s="1"/>
  <c r="C1372" i="3" s="1"/>
  <c r="D1372" i="3" s="1"/>
  <c r="C1409" i="3" s="1"/>
  <c r="D1409" i="3" s="1"/>
  <c r="C1446" i="3" s="1"/>
  <c r="D1446" i="3" s="1"/>
  <c r="C74" i="3"/>
  <c r="F60" i="3" s="1"/>
  <c r="F61" i="3" s="1"/>
  <c r="I2120" i="3"/>
  <c r="I2870" i="3"/>
  <c r="I2644" i="3"/>
  <c r="K3203" i="3"/>
  <c r="J3238" i="3" s="1"/>
  <c r="K3238" i="3" s="1"/>
  <c r="J3273" i="3" s="1"/>
  <c r="K3273" i="3" s="1"/>
  <c r="J3309" i="3" s="1"/>
  <c r="K3309" i="3" s="1"/>
  <c r="J3348" i="3" s="1"/>
  <c r="K3348" i="3" s="1"/>
  <c r="J3383" i="3" s="1"/>
  <c r="K3383" i="3" s="1"/>
  <c r="J3419" i="3" s="1"/>
  <c r="I3205" i="3"/>
  <c r="K1561" i="3"/>
  <c r="J1598" i="3" s="1"/>
  <c r="K1598" i="3" s="1"/>
  <c r="J1635" i="3" s="1"/>
  <c r="I1563" i="3"/>
  <c r="I1300" i="3"/>
  <c r="K3419" i="3"/>
  <c r="J3459" i="3" s="1"/>
  <c r="K3459" i="3" s="1"/>
  <c r="J3494" i="3" s="1"/>
  <c r="K3494" i="3" s="1"/>
  <c r="J3534" i="3" s="1"/>
  <c r="K3534" i="3" s="1"/>
  <c r="J3582" i="3" s="1"/>
  <c r="K3582" i="3" s="1"/>
  <c r="I1152" i="3"/>
  <c r="I3421" i="3"/>
  <c r="I967" i="3"/>
  <c r="K665" i="3"/>
  <c r="I669" i="3"/>
  <c r="K298" i="3"/>
  <c r="I300" i="3"/>
  <c r="I1411" i="3"/>
  <c r="I743" i="3"/>
  <c r="I3350" i="3"/>
  <c r="K415" i="3"/>
  <c r="J453" i="3" s="1"/>
  <c r="K453" i="3" s="1"/>
  <c r="J491" i="3" s="1"/>
  <c r="K491" i="3" s="1"/>
  <c r="J528" i="3" s="1"/>
  <c r="K528" i="3" s="1"/>
  <c r="J561" i="3" s="1"/>
  <c r="I417" i="3"/>
  <c r="K701" i="3"/>
  <c r="J74" i="3" l="1"/>
  <c r="K69" i="3"/>
  <c r="K630" i="3"/>
  <c r="J632" i="3"/>
  <c r="J702" i="3"/>
  <c r="J738" i="3"/>
  <c r="J1147" i="3"/>
  <c r="K561" i="3"/>
  <c r="J563" i="3"/>
  <c r="D111" i="3"/>
  <c r="C143" i="3"/>
  <c r="J596" i="3" l="1"/>
  <c r="J598" i="3" s="1"/>
  <c r="K563" i="3"/>
  <c r="C148" i="3"/>
  <c r="D143" i="3"/>
  <c r="K1147" i="3"/>
  <c r="K738" i="3"/>
  <c r="K702" i="3"/>
  <c r="J666" i="3"/>
  <c r="K632" i="3"/>
  <c r="K74" i="3"/>
  <c r="M97" i="3" s="1"/>
  <c r="M98" i="3" s="1"/>
  <c r="M134" i="3" s="1"/>
  <c r="M135" i="3" s="1"/>
  <c r="M171" i="3" s="1"/>
  <c r="M172" i="3" s="1"/>
  <c r="M208" i="3" s="1"/>
  <c r="M209" i="3" s="1"/>
  <c r="M247" i="3" s="1"/>
  <c r="M248" i="3" s="1"/>
  <c r="M286" i="3" s="1"/>
  <c r="M287" i="3" s="1"/>
  <c r="J106" i="3"/>
  <c r="K666" i="3" l="1"/>
  <c r="J669" i="3"/>
  <c r="J739" i="3"/>
  <c r="J1184" i="3"/>
  <c r="K106" i="3"/>
  <c r="J111" i="3"/>
  <c r="J775" i="3"/>
  <c r="C180" i="3"/>
  <c r="D148" i="3"/>
  <c r="C185" i="3" l="1"/>
  <c r="D180" i="3"/>
  <c r="K775" i="3"/>
  <c r="K111" i="3"/>
  <c r="J143" i="3"/>
  <c r="K1184" i="3"/>
  <c r="K739" i="3"/>
  <c r="J703" i="3"/>
  <c r="K669" i="3"/>
  <c r="J1221" i="3" l="1"/>
  <c r="K703" i="3"/>
  <c r="J706" i="3"/>
  <c r="J776" i="3"/>
  <c r="J148" i="3"/>
  <c r="K143" i="3"/>
  <c r="J810" i="3"/>
  <c r="C217" i="3"/>
  <c r="D185" i="3"/>
  <c r="K810" i="3" l="1"/>
  <c r="J180" i="3"/>
  <c r="K148" i="3"/>
  <c r="K1221" i="3"/>
  <c r="D217" i="3"/>
  <c r="C222" i="3"/>
  <c r="K776" i="3"/>
  <c r="J740" i="3"/>
  <c r="K706" i="3"/>
  <c r="K740" i="3" l="1"/>
  <c r="J743" i="3"/>
  <c r="J811" i="3"/>
  <c r="D222" i="3"/>
  <c r="C256" i="3"/>
  <c r="J1258" i="3"/>
  <c r="J185" i="3"/>
  <c r="K180" i="3"/>
  <c r="J847" i="3"/>
  <c r="K847" i="3" l="1"/>
  <c r="J217" i="3"/>
  <c r="K185" i="3"/>
  <c r="K1258" i="3"/>
  <c r="C261" i="3"/>
  <c r="D256" i="3"/>
  <c r="K811" i="3"/>
  <c r="J777" i="3"/>
  <c r="K743" i="3"/>
  <c r="K777" i="3" l="1"/>
  <c r="J780" i="3"/>
  <c r="J848" i="3"/>
  <c r="C295" i="3"/>
  <c r="D261" i="3"/>
  <c r="J1295" i="3"/>
  <c r="J222" i="3"/>
  <c r="K217" i="3"/>
  <c r="J886" i="3"/>
  <c r="J256" i="3" l="1"/>
  <c r="K222" i="3"/>
  <c r="K886" i="3"/>
  <c r="K1295" i="3"/>
  <c r="C300" i="3"/>
  <c r="D295" i="3"/>
  <c r="K848" i="3"/>
  <c r="J812" i="3"/>
  <c r="K780" i="3"/>
  <c r="J923" i="3" l="1"/>
  <c r="K812" i="3"/>
  <c r="J815" i="3"/>
  <c r="J1332" i="3"/>
  <c r="J887" i="3"/>
  <c r="C334" i="3"/>
  <c r="D300" i="3"/>
  <c r="K256" i="3"/>
  <c r="J261" i="3"/>
  <c r="C339" i="3" l="1"/>
  <c r="D334" i="3"/>
  <c r="J295" i="3"/>
  <c r="K261" i="3"/>
  <c r="K1332" i="3"/>
  <c r="K887" i="3"/>
  <c r="J849" i="3"/>
  <c r="K815" i="3"/>
  <c r="K923" i="3"/>
  <c r="J962" i="3" l="1"/>
  <c r="J924" i="3"/>
  <c r="J1369" i="3"/>
  <c r="K295" i="3"/>
  <c r="J300" i="3"/>
  <c r="K849" i="3"/>
  <c r="J852" i="3"/>
  <c r="D339" i="3"/>
  <c r="C371" i="3"/>
  <c r="C376" i="3" l="1"/>
  <c r="D371" i="3"/>
  <c r="J888" i="3"/>
  <c r="K852" i="3"/>
  <c r="K300" i="3"/>
  <c r="J334" i="3"/>
  <c r="K1369" i="3"/>
  <c r="K924" i="3"/>
  <c r="K962" i="3"/>
  <c r="J1001" i="3" l="1"/>
  <c r="J963" i="3"/>
  <c r="J1406" i="3"/>
  <c r="J339" i="3"/>
  <c r="K334" i="3"/>
  <c r="K888" i="3"/>
  <c r="J891" i="3"/>
  <c r="D376" i="3"/>
  <c r="C412" i="3"/>
  <c r="C417" i="3" l="1"/>
  <c r="D412" i="3"/>
  <c r="J925" i="3"/>
  <c r="K891" i="3"/>
  <c r="K339" i="3"/>
  <c r="M362" i="3" s="1"/>
  <c r="M363" i="3" s="1"/>
  <c r="M403" i="3" s="1"/>
  <c r="M404" i="3" s="1"/>
  <c r="M441" i="3" s="1"/>
  <c r="M442" i="3" s="1"/>
  <c r="M479" i="3" s="1"/>
  <c r="M480" i="3" s="1"/>
  <c r="M516" i="3" s="1"/>
  <c r="M517" i="3" s="1"/>
  <c r="J371" i="3"/>
  <c r="K1406" i="3"/>
  <c r="K963" i="3"/>
  <c r="K1001" i="3"/>
  <c r="J1036" i="3" l="1"/>
  <c r="J1002" i="3"/>
  <c r="J1443" i="3"/>
  <c r="K371" i="3"/>
  <c r="J376" i="3"/>
  <c r="K925" i="3"/>
  <c r="J928" i="3"/>
  <c r="D417" i="3"/>
  <c r="C450" i="3"/>
  <c r="J964" i="3" l="1"/>
  <c r="K928" i="3"/>
  <c r="K376" i="3"/>
  <c r="J412" i="3"/>
  <c r="K1443" i="3"/>
  <c r="K1002" i="3"/>
  <c r="C455" i="3"/>
  <c r="D450" i="3"/>
  <c r="K1036" i="3"/>
  <c r="K964" i="3" l="1"/>
  <c r="J967" i="3"/>
  <c r="C488" i="3"/>
  <c r="D455" i="3"/>
  <c r="J1037" i="3"/>
  <c r="J1482" i="3"/>
  <c r="J417" i="3"/>
  <c r="K412" i="3"/>
  <c r="J1003" i="3" l="1"/>
  <c r="K967" i="3"/>
  <c r="K417" i="3"/>
  <c r="J450" i="3"/>
  <c r="K1482" i="3"/>
  <c r="K1037" i="3"/>
  <c r="C493" i="3"/>
  <c r="D488" i="3"/>
  <c r="K1003" i="3" l="1"/>
  <c r="J1006" i="3"/>
  <c r="C525" i="3"/>
  <c r="D493" i="3"/>
  <c r="J1521" i="3"/>
  <c r="J455" i="3"/>
  <c r="K450" i="3"/>
  <c r="C530" i="3" l="1"/>
  <c r="D525" i="3"/>
  <c r="J1038" i="3"/>
  <c r="K1006" i="3"/>
  <c r="K455" i="3"/>
  <c r="J488" i="3"/>
  <c r="K1521" i="3"/>
  <c r="J1558" i="3" l="1"/>
  <c r="J493" i="3"/>
  <c r="K488" i="3"/>
  <c r="K1038" i="3"/>
  <c r="J1041" i="3"/>
  <c r="D530" i="3"/>
  <c r="C558" i="3"/>
  <c r="C563" i="3" l="1"/>
  <c r="D558" i="3"/>
  <c r="J1075" i="3"/>
  <c r="K1041" i="3"/>
  <c r="J525" i="3"/>
  <c r="K493" i="3"/>
  <c r="K1558" i="3"/>
  <c r="J1595" i="3" l="1"/>
  <c r="J530" i="3"/>
  <c r="K525" i="3"/>
  <c r="K530" i="3" s="1"/>
  <c r="J1078" i="3"/>
  <c r="K1075" i="3"/>
  <c r="D563" i="3"/>
  <c r="C598" i="3" s="1"/>
  <c r="C593" i="3"/>
  <c r="D593" i="3" s="1"/>
  <c r="J1112" i="3" l="1"/>
  <c r="K1078" i="3"/>
  <c r="D598" i="3"/>
  <c r="C628" i="3"/>
  <c r="K1595" i="3"/>
  <c r="J1632" i="3" l="1"/>
  <c r="C632" i="3"/>
  <c r="D628" i="3"/>
  <c r="K1112" i="3"/>
  <c r="J1115" i="3"/>
  <c r="J1149" i="3" l="1"/>
  <c r="K1115" i="3"/>
  <c r="D632" i="3"/>
  <c r="C664" i="3"/>
  <c r="K1632" i="3"/>
  <c r="J1669" i="3" l="1"/>
  <c r="C669" i="3"/>
  <c r="D664" i="3"/>
  <c r="K1149" i="3"/>
  <c r="J1152" i="3"/>
  <c r="J1186" i="3" l="1"/>
  <c r="K1152" i="3"/>
  <c r="C701" i="3"/>
  <c r="D669" i="3"/>
  <c r="K1669" i="3"/>
  <c r="J1706" i="3" l="1"/>
  <c r="C706" i="3"/>
  <c r="D701" i="3"/>
  <c r="K1186" i="3"/>
  <c r="J1189" i="3"/>
  <c r="J1223" i="3" l="1"/>
  <c r="K1189" i="3"/>
  <c r="D706" i="3"/>
  <c r="C740" i="3"/>
  <c r="K1706" i="3"/>
  <c r="J1745" i="3" l="1"/>
  <c r="D740" i="3"/>
  <c r="C745" i="3"/>
  <c r="K1223" i="3"/>
  <c r="J1226" i="3"/>
  <c r="J1260" i="3" l="1"/>
  <c r="K1226" i="3"/>
  <c r="D745" i="3"/>
  <c r="C777" i="3"/>
  <c r="K1745" i="3"/>
  <c r="J1782" i="3" l="1"/>
  <c r="C782" i="3"/>
  <c r="D777" i="3"/>
  <c r="K1260" i="3"/>
  <c r="J1263" i="3"/>
  <c r="J1297" i="3" l="1"/>
  <c r="K1263" i="3"/>
  <c r="D782" i="3"/>
  <c r="C812" i="3"/>
  <c r="K1782" i="3"/>
  <c r="J1819" i="3" l="1"/>
  <c r="C817" i="3"/>
  <c r="D812" i="3"/>
  <c r="K1297" i="3"/>
  <c r="J1300" i="3"/>
  <c r="J1334" i="3" l="1"/>
  <c r="K1300" i="3"/>
  <c r="C849" i="3"/>
  <c r="D817" i="3"/>
  <c r="K1819" i="3"/>
  <c r="J1856" i="3" l="1"/>
  <c r="C854" i="3"/>
  <c r="D849" i="3"/>
  <c r="K1334" i="3"/>
  <c r="J1337" i="3"/>
  <c r="J1371" i="3" l="1"/>
  <c r="K1337" i="3"/>
  <c r="D854" i="3"/>
  <c r="C888" i="3"/>
  <c r="K1856" i="3"/>
  <c r="J1893" i="3" l="1"/>
  <c r="C893" i="3"/>
  <c r="D888" i="3"/>
  <c r="K1371" i="3"/>
  <c r="J1374" i="3"/>
  <c r="J1408" i="3" l="1"/>
  <c r="K1374" i="3"/>
  <c r="C925" i="3"/>
  <c r="D893" i="3"/>
  <c r="K1893" i="3"/>
  <c r="J1930" i="3" l="1"/>
  <c r="D925" i="3"/>
  <c r="C930" i="3"/>
  <c r="K1408" i="3"/>
  <c r="J1411" i="3"/>
  <c r="J1445" i="3" l="1"/>
  <c r="K1411" i="3"/>
  <c r="C964" i="3"/>
  <c r="D930" i="3"/>
  <c r="K1930" i="3"/>
  <c r="J1967" i="3" l="1"/>
  <c r="D964" i="3"/>
  <c r="C969" i="3"/>
  <c r="K1445" i="3"/>
  <c r="J1448" i="3"/>
  <c r="J1484" i="3" l="1"/>
  <c r="K1448" i="3"/>
  <c r="C1003" i="3"/>
  <c r="D969" i="3"/>
  <c r="K1967" i="3"/>
  <c r="J2004" i="3" l="1"/>
  <c r="C1008" i="3"/>
  <c r="D1003" i="3"/>
  <c r="K1484" i="3"/>
  <c r="J1487" i="3"/>
  <c r="J1523" i="3" l="1"/>
  <c r="K1487" i="3"/>
  <c r="D1008" i="3"/>
  <c r="C1038" i="3"/>
  <c r="D1038" i="3" s="1"/>
  <c r="C1073" i="3" s="1"/>
  <c r="K2004" i="3"/>
  <c r="J2041" i="3" l="1"/>
  <c r="C1078" i="3"/>
  <c r="D1073" i="3"/>
  <c r="K1523" i="3"/>
  <c r="J1526" i="3"/>
  <c r="J1560" i="3" l="1"/>
  <c r="K1526" i="3"/>
  <c r="D1078" i="3"/>
  <c r="C1110" i="3"/>
  <c r="K2041" i="3"/>
  <c r="J2078" i="3" l="1"/>
  <c r="C1115" i="3"/>
  <c r="D1110" i="3"/>
  <c r="K1560" i="3"/>
  <c r="J1563" i="3"/>
  <c r="D1115" i="3" l="1"/>
  <c r="C1147" i="3"/>
  <c r="K2078" i="3"/>
  <c r="J1597" i="3"/>
  <c r="K1563" i="3"/>
  <c r="K1597" i="3" l="1"/>
  <c r="J1600" i="3"/>
  <c r="C1152" i="3"/>
  <c r="D1147" i="3"/>
  <c r="J2115" i="3"/>
  <c r="K2115" i="3" l="1"/>
  <c r="C1184" i="3"/>
  <c r="D1152" i="3"/>
  <c r="J1634" i="3"/>
  <c r="K1600" i="3"/>
  <c r="K1634" i="3" l="1"/>
  <c r="J1637" i="3"/>
  <c r="C1189" i="3"/>
  <c r="D1184" i="3"/>
  <c r="J2152" i="3"/>
  <c r="K2152" i="3" l="1"/>
  <c r="D1189" i="3"/>
  <c r="C1221" i="3"/>
  <c r="J1671" i="3"/>
  <c r="K1637" i="3"/>
  <c r="K1671" i="3" l="1"/>
  <c r="J1674" i="3"/>
  <c r="D1221" i="3"/>
  <c r="C1226" i="3"/>
  <c r="J2191" i="3"/>
  <c r="K2191" i="3" l="1"/>
  <c r="D1226" i="3"/>
  <c r="C1258" i="3"/>
  <c r="J1708" i="3"/>
  <c r="K1674" i="3"/>
  <c r="K1708" i="3" l="1"/>
  <c r="J1711" i="3"/>
  <c r="C1263" i="3"/>
  <c r="D1258" i="3"/>
  <c r="J2228" i="3"/>
  <c r="K2228" i="3" l="1"/>
  <c r="D1263" i="3"/>
  <c r="C1295" i="3"/>
  <c r="J1747" i="3"/>
  <c r="K1711" i="3"/>
  <c r="K1747" i="3" l="1"/>
  <c r="J1750" i="3"/>
  <c r="D1295" i="3"/>
  <c r="C1300" i="3"/>
  <c r="J2265" i="3"/>
  <c r="K2265" i="3" l="1"/>
  <c r="C1332" i="3"/>
  <c r="D1300" i="3"/>
  <c r="J1784" i="3"/>
  <c r="K1750" i="3"/>
  <c r="K1784" i="3" l="1"/>
  <c r="J1787" i="3"/>
  <c r="C1337" i="3"/>
  <c r="D1332" i="3"/>
  <c r="J2302" i="3"/>
  <c r="K2302" i="3" l="1"/>
  <c r="C1371" i="3"/>
  <c r="D1337" i="3"/>
  <c r="J1821" i="3"/>
  <c r="K1787" i="3"/>
  <c r="K1821" i="3" l="1"/>
  <c r="J1824" i="3"/>
  <c r="C1376" i="3"/>
  <c r="D1371" i="3"/>
  <c r="J2339" i="3"/>
  <c r="K2339" i="3" l="1"/>
  <c r="D1376" i="3"/>
  <c r="C1408" i="3"/>
  <c r="J1858" i="3"/>
  <c r="K1824" i="3"/>
  <c r="K1858" i="3" l="1"/>
  <c r="J1861" i="3"/>
  <c r="C1413" i="3"/>
  <c r="D1408" i="3"/>
  <c r="J2376" i="3"/>
  <c r="K2376" i="3" l="1"/>
  <c r="C1445" i="3"/>
  <c r="D1445" i="3" s="1"/>
  <c r="D1413" i="3"/>
  <c r="J1895" i="3"/>
  <c r="K1861" i="3"/>
  <c r="K1895" i="3" l="1"/>
  <c r="J1898" i="3"/>
  <c r="J2413" i="3"/>
  <c r="K2413" i="3" l="1"/>
  <c r="J1932" i="3"/>
  <c r="K1898" i="3"/>
  <c r="K1932" i="3" l="1"/>
  <c r="J1935" i="3"/>
  <c r="J2450" i="3"/>
  <c r="K2450" i="3" l="1"/>
  <c r="J1969" i="3"/>
  <c r="K1935" i="3"/>
  <c r="K1969" i="3" l="1"/>
  <c r="J1972" i="3"/>
  <c r="J2489" i="3"/>
  <c r="K2489" i="3" l="1"/>
  <c r="J2006" i="3"/>
  <c r="K1972" i="3"/>
  <c r="K2006" i="3" l="1"/>
  <c r="J2009" i="3"/>
  <c r="J2526" i="3"/>
  <c r="K2526" i="3" l="1"/>
  <c r="J2043" i="3"/>
  <c r="K2009" i="3"/>
  <c r="K2043" i="3" l="1"/>
  <c r="J2046" i="3"/>
  <c r="J2563" i="3"/>
  <c r="K2563" i="3" l="1"/>
  <c r="J2080" i="3"/>
  <c r="K2046" i="3"/>
  <c r="K2080" i="3" l="1"/>
  <c r="J2083" i="3"/>
  <c r="J2600" i="3"/>
  <c r="K2600" i="3" l="1"/>
  <c r="J2117" i="3"/>
  <c r="K2083" i="3"/>
  <c r="K2117" i="3" l="1"/>
  <c r="J2120" i="3"/>
  <c r="J2639" i="3"/>
  <c r="K2639" i="3" l="1"/>
  <c r="J2154" i="3"/>
  <c r="K2120" i="3"/>
  <c r="K2154" i="3" l="1"/>
  <c r="J2157" i="3"/>
  <c r="J2676" i="3"/>
  <c r="K2676" i="3" l="1"/>
  <c r="J2193" i="3"/>
  <c r="K2157" i="3"/>
  <c r="K2193" i="3" l="1"/>
  <c r="J2196" i="3"/>
  <c r="J2713" i="3"/>
  <c r="K2713" i="3" l="1"/>
  <c r="J2230" i="3"/>
  <c r="K2196" i="3"/>
  <c r="K2230" i="3" l="1"/>
  <c r="J2233" i="3"/>
  <c r="J2750" i="3"/>
  <c r="K2750" i="3" l="1"/>
  <c r="J2267" i="3"/>
  <c r="K2233" i="3"/>
  <c r="K2267" i="3" l="1"/>
  <c r="J2270" i="3"/>
  <c r="J2787" i="3"/>
  <c r="K2787" i="3" l="1"/>
  <c r="J2304" i="3"/>
  <c r="K2270" i="3"/>
  <c r="K2304" i="3" l="1"/>
  <c r="J2307" i="3"/>
  <c r="J2826" i="3"/>
  <c r="K2826" i="3" l="1"/>
  <c r="J2341" i="3"/>
  <c r="K2307" i="3"/>
  <c r="K2341" i="3" l="1"/>
  <c r="J2344" i="3"/>
  <c r="J2865" i="3"/>
  <c r="K2865" i="3" l="1"/>
  <c r="J2378" i="3"/>
  <c r="K2344" i="3"/>
  <c r="K2378" i="3" l="1"/>
  <c r="J2381" i="3"/>
  <c r="J2902" i="3"/>
  <c r="K2902" i="3" l="1"/>
  <c r="J2415" i="3"/>
  <c r="K2381" i="3"/>
  <c r="K2415" i="3" l="1"/>
  <c r="J2418" i="3"/>
  <c r="J2939" i="3"/>
  <c r="K2939" i="3" l="1"/>
  <c r="J2452" i="3"/>
  <c r="K2418" i="3"/>
  <c r="K2452" i="3" l="1"/>
  <c r="J2455" i="3"/>
  <c r="J2976" i="3"/>
  <c r="K2976" i="3" l="1"/>
  <c r="J2491" i="3"/>
  <c r="K2455" i="3"/>
  <c r="K2491" i="3" l="1"/>
  <c r="J2494" i="3"/>
  <c r="J3013" i="3"/>
  <c r="K3013" i="3" l="1"/>
  <c r="J2528" i="3"/>
  <c r="K2494" i="3"/>
  <c r="K2528" i="3" l="1"/>
  <c r="J2531" i="3"/>
  <c r="J3050" i="3"/>
  <c r="K3050" i="3" l="1"/>
  <c r="J2565" i="3"/>
  <c r="K2531" i="3"/>
  <c r="K2565" i="3" l="1"/>
  <c r="J2568" i="3"/>
  <c r="J3087" i="3"/>
  <c r="K3087" i="3" l="1"/>
  <c r="J2602" i="3"/>
  <c r="K2568" i="3"/>
  <c r="K2602" i="3" l="1"/>
  <c r="J2605" i="3"/>
  <c r="J3124" i="3"/>
  <c r="K3124" i="3" l="1"/>
  <c r="J2641" i="3"/>
  <c r="K2605" i="3"/>
  <c r="K2641" i="3" l="1"/>
  <c r="J2644" i="3"/>
  <c r="J3161" i="3"/>
  <c r="K3161" i="3" l="1"/>
  <c r="J2678" i="3"/>
  <c r="K2644" i="3"/>
  <c r="K2678" i="3" l="1"/>
  <c r="J2681" i="3"/>
  <c r="J3200" i="3"/>
  <c r="K3200" i="3" l="1"/>
  <c r="J2715" i="3"/>
  <c r="K2681" i="3"/>
  <c r="K2715" i="3" l="1"/>
  <c r="J2718" i="3"/>
  <c r="J3235" i="3"/>
  <c r="K3235" i="3" l="1"/>
  <c r="J2752" i="3"/>
  <c r="K2718" i="3"/>
  <c r="K2752" i="3" l="1"/>
  <c r="J2755" i="3"/>
  <c r="J3270" i="3"/>
  <c r="K3270" i="3" l="1"/>
  <c r="J2789" i="3"/>
  <c r="K2755" i="3"/>
  <c r="K2789" i="3" l="1"/>
  <c r="J2792" i="3"/>
  <c r="J3306" i="3"/>
  <c r="K3306" i="3" l="1"/>
  <c r="J2828" i="3"/>
  <c r="K2792" i="3"/>
  <c r="K2828" i="3" l="1"/>
  <c r="J2831" i="3"/>
  <c r="J3345" i="3"/>
  <c r="K3345" i="3" l="1"/>
  <c r="J2867" i="3"/>
  <c r="K2831" i="3"/>
  <c r="K2867" i="3" l="1"/>
  <c r="J2870" i="3"/>
  <c r="J3380" i="3"/>
  <c r="K3380" i="3" l="1"/>
  <c r="J2904" i="3"/>
  <c r="K2870" i="3"/>
  <c r="K2904" i="3" l="1"/>
  <c r="J2907" i="3"/>
  <c r="J3416" i="3"/>
  <c r="K3416" i="3" l="1"/>
  <c r="J2941" i="3"/>
  <c r="K2907" i="3"/>
  <c r="K2941" i="3" l="1"/>
  <c r="J2944" i="3"/>
  <c r="J3456" i="3"/>
  <c r="K3456" i="3" l="1"/>
  <c r="J2978" i="3"/>
  <c r="K2944" i="3"/>
  <c r="K2978" i="3" l="1"/>
  <c r="J2981" i="3"/>
  <c r="J3491" i="3"/>
  <c r="K3491" i="3" l="1"/>
  <c r="J3015" i="3"/>
  <c r="K2981" i="3"/>
  <c r="K3015" i="3" l="1"/>
  <c r="J3018" i="3"/>
  <c r="J3531" i="3"/>
  <c r="K3531" i="3" l="1"/>
  <c r="J3052" i="3"/>
  <c r="K3018" i="3"/>
  <c r="K3052" i="3" l="1"/>
  <c r="J3055" i="3"/>
  <c r="J3579" i="3"/>
  <c r="K3579" i="3" l="1"/>
  <c r="J3089" i="3"/>
  <c r="K3055" i="3"/>
  <c r="K3089" i="3" l="1"/>
  <c r="J3092" i="3"/>
  <c r="J3126" i="3" l="1"/>
  <c r="K3092" i="3"/>
  <c r="K3126" i="3" l="1"/>
  <c r="J3129" i="3"/>
  <c r="J3163" i="3" l="1"/>
  <c r="K3129" i="3"/>
  <c r="K3163" i="3" l="1"/>
  <c r="J3166" i="3"/>
  <c r="J3202" i="3" l="1"/>
  <c r="K3166" i="3"/>
  <c r="K3202" i="3" l="1"/>
  <c r="J3205" i="3"/>
  <c r="J3237" i="3" l="1"/>
  <c r="K3205" i="3"/>
  <c r="K3237" i="3" l="1"/>
  <c r="J3240" i="3"/>
  <c r="J3272" i="3" l="1"/>
  <c r="K3240" i="3"/>
  <c r="K3272" i="3" l="1"/>
  <c r="J3275" i="3"/>
  <c r="J3308" i="3" l="1"/>
  <c r="K3275" i="3"/>
  <c r="K3308" i="3" l="1"/>
  <c r="J3311" i="3"/>
  <c r="J3347" i="3" l="1"/>
  <c r="K3311" i="3"/>
  <c r="K3347" i="3" l="1"/>
  <c r="J3350" i="3"/>
  <c r="J3382" i="3" l="1"/>
  <c r="K3350" i="3"/>
  <c r="K3382" i="3" l="1"/>
  <c r="J3385" i="3"/>
  <c r="J3418" i="3" l="1"/>
  <c r="K3385" i="3"/>
  <c r="K3418" i="3" l="1"/>
  <c r="J3421" i="3"/>
  <c r="J3458" i="3" l="1"/>
  <c r="K3421" i="3"/>
  <c r="K3458" i="3" l="1"/>
  <c r="J3461" i="3"/>
  <c r="J3493" i="3" l="1"/>
  <c r="K3461" i="3"/>
  <c r="K3493" i="3" l="1"/>
  <c r="J3496" i="3"/>
  <c r="J3533" i="3" l="1"/>
  <c r="K3496" i="3"/>
  <c r="K3533" i="3" l="1"/>
  <c r="J3536" i="3"/>
  <c r="J3581" i="3" l="1"/>
  <c r="K3536" i="3"/>
  <c r="K3581" i="3" l="1"/>
  <c r="K3584" i="3" s="1"/>
  <c r="J3584" i="3"/>
</calcChain>
</file>

<file path=xl/sharedStrings.xml><?xml version="1.0" encoding="utf-8"?>
<sst xmlns="http://schemas.openxmlformats.org/spreadsheetml/2006/main" count="5856" uniqueCount="1051">
  <si>
    <t>Facture</t>
  </si>
  <si>
    <t xml:space="preserve">Libreville, le </t>
  </si>
  <si>
    <t>Doit :</t>
  </si>
  <si>
    <t>Libreville</t>
  </si>
  <si>
    <t>Site:</t>
  </si>
  <si>
    <t>PORT-GENTIL</t>
  </si>
  <si>
    <t>Série N°:</t>
  </si>
  <si>
    <t>PERIODE</t>
  </si>
  <si>
    <t>DESIGNATION</t>
  </si>
  <si>
    <t>MONTANT</t>
  </si>
  <si>
    <t>Du 01/02 au 12/02/2024</t>
  </si>
  <si>
    <t>Usage des Comptoirs</t>
  </si>
  <si>
    <t>Annonces point "I"</t>
  </si>
  <si>
    <t>Nbre H</t>
  </si>
  <si>
    <t>CU</t>
  </si>
  <si>
    <t>Total 1</t>
  </si>
  <si>
    <t>Nbre Ann</t>
  </si>
  <si>
    <t>Total 2</t>
  </si>
  <si>
    <t>pax</t>
  </si>
  <si>
    <t>Montant HT</t>
  </si>
  <si>
    <t>TAXES</t>
  </si>
  <si>
    <t>ACOMPTE</t>
  </si>
  <si>
    <t>SOLDE</t>
  </si>
  <si>
    <r>
      <t>Certifie sincère et veritable la présente facture d'avoir s'élèvant à la somme de:</t>
    </r>
    <r>
      <rPr>
        <b/>
        <i/>
        <sz val="11"/>
        <color theme="1"/>
        <rFont val="Arial Narrow"/>
        <family val="2"/>
      </rPr>
      <t xml:space="preserve"> </t>
    </r>
  </si>
  <si>
    <t>Mode de règlement:</t>
  </si>
  <si>
    <r>
      <t xml:space="preserve">Numéraire ou virement bancaire: cpte </t>
    </r>
    <r>
      <rPr>
        <b/>
        <sz val="11"/>
        <color theme="1"/>
        <rFont val="Arial Narrow"/>
        <family val="2"/>
      </rPr>
      <t>ASECNA N° 40002 00005 56461893000 93</t>
    </r>
    <r>
      <rPr>
        <sz val="11"/>
        <color theme="1"/>
        <rFont val="Arial Narrow"/>
        <family val="2"/>
      </rPr>
      <t xml:space="preserve">  UGB Libreville</t>
    </r>
  </si>
  <si>
    <r>
      <t xml:space="preserve">Chèques à libeller au nom de: </t>
    </r>
    <r>
      <rPr>
        <b/>
        <sz val="11"/>
        <color theme="1"/>
        <rFont val="Arial Narrow"/>
        <family val="2"/>
      </rPr>
      <t>ASECNA Activités Aéronautiques Nationales du Gabon</t>
    </r>
  </si>
  <si>
    <r>
      <rPr>
        <sz val="11"/>
        <color theme="1"/>
        <rFont val="Calibri"/>
        <family val="2"/>
      </rPr>
      <t>É</t>
    </r>
    <r>
      <rPr>
        <sz val="11"/>
        <color theme="1"/>
        <rFont val="Arial Narrow"/>
        <family val="2"/>
      </rPr>
      <t xml:space="preserve">chéance de règlement: 30 jours à compter de la date d'émission </t>
    </r>
  </si>
  <si>
    <t>Le Délégué du Directeur Général de l'ASECNA</t>
  </si>
  <si>
    <t xml:space="preserve">pour  la Gestion des Activités Aéronautiques </t>
  </si>
  <si>
    <t>Facture N°146</t>
  </si>
  <si>
    <t xml:space="preserve">        Laurette Josette ASSENG EKANKANG</t>
  </si>
  <si>
    <t>Tél:077 09 62 66/ 066 09 62 66</t>
  </si>
  <si>
    <t>BITAM</t>
  </si>
  <si>
    <t xml:space="preserve">Site: BITAM </t>
  </si>
  <si>
    <t>Du 01/12 au 31/12/2025</t>
  </si>
  <si>
    <t>CONVENTION DOMANIALE/BAIL</t>
  </si>
  <si>
    <t>N°OB/004/ECEP/2025</t>
  </si>
  <si>
    <t>DEVISE</t>
  </si>
  <si>
    <t>Montant TTC</t>
  </si>
  <si>
    <t>FCFA</t>
  </si>
  <si>
    <t xml:space="preserve">Certifie sincère et veritable la présente facture s'élèvant à la somme de: </t>
  </si>
  <si>
    <t>QUATRE CENT MILLE  (400 000) FRANCS.CFA</t>
  </si>
  <si>
    <t>Chèques à libeller au nom de: ASECNA Activités Aéronautiques Nationales du Gabon</t>
  </si>
  <si>
    <t xml:space="preserve">Échéance de règlement: 30 jours à compter de la date d'émission </t>
  </si>
  <si>
    <t xml:space="preserve">                                                                    Nationales du Gabon par intérim</t>
  </si>
  <si>
    <t>ASECNA DELEGATION DU GABON</t>
  </si>
  <si>
    <t>Activités Aéronautiques Nationales du Gabon</t>
  </si>
  <si>
    <t>Administration Générale et Finances (AGF)</t>
  </si>
  <si>
    <t>Unité Budget et Facturation</t>
  </si>
  <si>
    <r>
      <t xml:space="preserve"> Bordereau N°: </t>
    </r>
    <r>
      <rPr>
        <b/>
        <sz val="13"/>
        <color theme="1"/>
        <rFont val="Times New Roman"/>
        <family val="1"/>
      </rPr>
      <t>045</t>
    </r>
  </si>
  <si>
    <r>
      <t xml:space="preserve"> Bordereau N°: </t>
    </r>
    <r>
      <rPr>
        <b/>
        <sz val="13"/>
        <color theme="1"/>
        <rFont val="Times New Roman"/>
        <family val="1"/>
      </rPr>
      <t>006</t>
    </r>
  </si>
  <si>
    <t>EXERCICE: 2015</t>
  </si>
  <si>
    <t xml:space="preserve"> EXERCICE: 2025</t>
  </si>
  <si>
    <t>BORDEREAU D'EMISSION DE BANQUES D'ENREGISTREMENT</t>
  </si>
  <si>
    <t>BORDEREAU D'EMISSION DES CONVENTIONS DOMANIALES</t>
  </si>
  <si>
    <t>N° FACTURE</t>
  </si>
  <si>
    <t>DATE DE FACTURE</t>
  </si>
  <si>
    <t>CLIENT</t>
  </si>
  <si>
    <t>SITE</t>
  </si>
  <si>
    <t>MONTANT FACTURE</t>
  </si>
  <si>
    <t>Imputation Budgétaire</t>
  </si>
  <si>
    <t>CL</t>
  </si>
  <si>
    <t>Montant</t>
  </si>
  <si>
    <t>AFRIC AVIATION</t>
  </si>
  <si>
    <t>Du 01 au 09/08/2015</t>
  </si>
  <si>
    <t>MVENGUE</t>
  </si>
  <si>
    <t>0026</t>
  </si>
  <si>
    <t>HELI UNION</t>
  </si>
  <si>
    <t>Du 01/01 au 31/12/2025</t>
  </si>
  <si>
    <t>LA NATIONALE</t>
  </si>
  <si>
    <t>Du 02 au 10/08/2016</t>
  </si>
  <si>
    <t>0027</t>
  </si>
  <si>
    <t xml:space="preserve">EAGLE </t>
  </si>
  <si>
    <t>0028</t>
  </si>
  <si>
    <r>
      <t xml:space="preserve">COREX </t>
    </r>
    <r>
      <rPr>
        <sz val="10.5"/>
        <color theme="1"/>
        <rFont val="Times New Roman"/>
        <family val="1"/>
      </rPr>
      <t>INTERNATIONALE</t>
    </r>
  </si>
  <si>
    <t>0029</t>
  </si>
  <si>
    <t>ART</t>
  </si>
  <si>
    <t>0030</t>
  </si>
  <si>
    <t>BUSINESS BUREAU</t>
  </si>
  <si>
    <t xml:space="preserve">TOTAL BORDEREAU </t>
  </si>
  <si>
    <t>CUMUL BORDEREAUX ANTERIEURS</t>
  </si>
  <si>
    <t>PAX</t>
  </si>
  <si>
    <t>TOTAL BORDEREAUX CUMULES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</si>
  <si>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 Deux cent dix  mille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</si>
  <si>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Cent douze  millions quatre cent quatre-vingt-six mille trois cent soixante</t>
    </r>
    <r>
      <rPr>
        <b/>
        <i/>
        <sz val="12"/>
        <color theme="1"/>
        <rFont val="Times New Roman"/>
        <family val="1"/>
      </rPr>
      <t xml:space="preserve">  francs.CFA</t>
    </r>
  </si>
  <si>
    <t>Fait à Libreville, le</t>
  </si>
  <si>
    <t>SUIVI BUDGETAIRE</t>
  </si>
  <si>
    <t xml:space="preserve">L'ORDONNATEUR DELEGUE </t>
  </si>
  <si>
    <t xml:space="preserve">L'ORDONNATEUR SECONDAIRE </t>
  </si>
  <si>
    <t>Montant bordereau</t>
  </si>
  <si>
    <t>Cumul bordereau antérieur</t>
  </si>
  <si>
    <t>Cumul</t>
  </si>
  <si>
    <t>Jean PAMBO BOUASSA</t>
  </si>
  <si>
    <t>710-718</t>
  </si>
  <si>
    <r>
      <t xml:space="preserve"> Bordereau N°: </t>
    </r>
    <r>
      <rPr>
        <b/>
        <sz val="13"/>
        <color theme="1"/>
        <rFont val="Times New Roman"/>
        <family val="1"/>
      </rPr>
      <t>046</t>
    </r>
  </si>
  <si>
    <r>
      <t xml:space="preserve"> Bordereau N°: </t>
    </r>
    <r>
      <rPr>
        <b/>
        <sz val="13"/>
        <color theme="1"/>
        <rFont val="Times New Roman"/>
        <family val="1"/>
      </rPr>
      <t>007</t>
    </r>
  </si>
  <si>
    <t>EXERCICE: 2025</t>
  </si>
  <si>
    <t>Du 12 au 19/08/2015</t>
  </si>
  <si>
    <t>0031</t>
  </si>
  <si>
    <t>KING INDUSTRY GABON</t>
  </si>
  <si>
    <t>Du 10 au 17/08/2016</t>
  </si>
  <si>
    <t>0032</t>
  </si>
  <si>
    <t>OFM</t>
  </si>
  <si>
    <t>0033</t>
  </si>
  <si>
    <t>TOTAL MARKETING</t>
  </si>
  <si>
    <t>ALLEGIANCE</t>
  </si>
  <si>
    <t>Du 14 au 19/08/2015</t>
  </si>
  <si>
    <t>0034</t>
  </si>
  <si>
    <t>CGC</t>
  </si>
  <si>
    <t>0035</t>
  </si>
  <si>
    <t>AGL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</si>
  <si>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Deux cent cinquante mille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</si>
  <si>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Quarante-un millions sept cent soixante-quatre mille quatre  cent quarante francs.CFA</t>
    </r>
  </si>
  <si>
    <r>
      <t xml:space="preserve"> Bordereau N°: </t>
    </r>
    <r>
      <rPr>
        <b/>
        <sz val="13"/>
        <color theme="1"/>
        <rFont val="Times New Roman"/>
        <family val="1"/>
      </rPr>
      <t>047</t>
    </r>
  </si>
  <si>
    <r>
      <t xml:space="preserve"> Bordereau N°: </t>
    </r>
    <r>
      <rPr>
        <b/>
        <sz val="13"/>
        <color theme="1"/>
        <rFont val="Times New Roman"/>
        <family val="1"/>
      </rPr>
      <t>008</t>
    </r>
  </si>
  <si>
    <t xml:space="preserve">BORDEREAU D'EMISSION DES BANQUES D'ENREGISTREMENT </t>
  </si>
  <si>
    <t>TROPICAL AI R</t>
  </si>
  <si>
    <t>Du 09 au 13/08/2015</t>
  </si>
  <si>
    <t>0036</t>
  </si>
  <si>
    <t>TRANSIST TRANSPORT SERVICES</t>
  </si>
  <si>
    <t>Du 07 au 13/08/2015</t>
  </si>
  <si>
    <t>0037</t>
  </si>
  <si>
    <t>NAVITRANS</t>
  </si>
  <si>
    <t>0038</t>
  </si>
  <si>
    <t>0039</t>
  </si>
  <si>
    <t>AVS INTERNATIONAL</t>
  </si>
  <si>
    <t>LAMBARENE</t>
  </si>
  <si>
    <t>0040</t>
  </si>
  <si>
    <t>FAST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</si>
  <si>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0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Un million deux cent dix-huit mille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</si>
  <si>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Douze millions quatre cent trois mille cent trente-deux (12 403 132)francs.CFA</t>
    </r>
  </si>
  <si>
    <r>
      <t xml:space="preserve"> Bordereau N°: </t>
    </r>
    <r>
      <rPr>
        <b/>
        <sz val="13"/>
        <color theme="1"/>
        <rFont val="Times New Roman"/>
        <family val="1"/>
      </rPr>
      <t>048</t>
    </r>
  </si>
  <si>
    <r>
      <t xml:space="preserve"> Bordereau N°: </t>
    </r>
    <r>
      <rPr>
        <b/>
        <sz val="13"/>
        <color theme="1"/>
        <rFont val="Times New Roman"/>
        <family val="1"/>
      </rPr>
      <t>009</t>
    </r>
  </si>
  <si>
    <t>Du 14 au 20/08/2015</t>
  </si>
  <si>
    <t>0041</t>
  </si>
  <si>
    <t>AVANTIS AVIATION</t>
  </si>
  <si>
    <t>Du 01/01 au 31/12/2024</t>
  </si>
  <si>
    <t>0042</t>
  </si>
  <si>
    <t>Du 15 au 20/08/2015</t>
  </si>
  <si>
    <t>0043</t>
  </si>
  <si>
    <t>0044</t>
  </si>
  <si>
    <t>COURRIER RAPIDE</t>
  </si>
  <si>
    <t>Du 01 au 31/12/2024</t>
  </si>
  <si>
    <t>EQUAFLIHT</t>
  </si>
  <si>
    <t>Du 18 au 22/08/2015</t>
  </si>
  <si>
    <t>0045</t>
  </si>
  <si>
    <t>PANTOUFLARDS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</si>
  <si>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0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Un million cent soixante deux mille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</si>
  <si>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Vingt-cinq  millions quatre cent cinquante-huit  mille (25 458 000) francs.CFA</t>
    </r>
  </si>
  <si>
    <r>
      <t xml:space="preserve"> Bordereau N°: </t>
    </r>
    <r>
      <rPr>
        <b/>
        <sz val="13"/>
        <color theme="1"/>
        <rFont val="Times New Roman"/>
        <family val="1"/>
      </rPr>
      <t>049</t>
    </r>
  </si>
  <si>
    <r>
      <t xml:space="preserve"> Bordereau N°: </t>
    </r>
    <r>
      <rPr>
        <b/>
        <sz val="13"/>
        <color theme="1"/>
        <rFont val="Times New Roman"/>
        <family val="1"/>
      </rPr>
      <t>010</t>
    </r>
  </si>
  <si>
    <t>BORDEREAU D'EMISSION DES REDEVANCES PARKING</t>
  </si>
  <si>
    <t>Du 01 au 05/08/2015</t>
  </si>
  <si>
    <t>0046</t>
  </si>
  <si>
    <t>SCHLUMBERGER</t>
  </si>
  <si>
    <t>Du 16/09/24 au 19/09/2025</t>
  </si>
  <si>
    <t>0047</t>
  </si>
  <si>
    <t>MAUREL&amp;PROM</t>
  </si>
  <si>
    <t>Du 20/09/24 au 26/09/2025</t>
  </si>
  <si>
    <t>Du 02 au 06/08/2015</t>
  </si>
  <si>
    <t>0048</t>
  </si>
  <si>
    <t>PERENCO</t>
  </si>
  <si>
    <t>Du 21/02/25 au 21/02/2026</t>
  </si>
  <si>
    <t>0049</t>
  </si>
  <si>
    <t>RAPID'TRAVAUX</t>
  </si>
  <si>
    <t>Du 01/10/24 au 01/10/2025</t>
  </si>
  <si>
    <t>Du 01 au 06/08/2015</t>
  </si>
  <si>
    <t>0050</t>
  </si>
  <si>
    <t>TINWORTH</t>
  </si>
  <si>
    <t>Du 06/03/25 au 12/03/2026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</si>
  <si>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0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Neuf cent quatre-vingt-dix quatorze mille francs.CFA</t>
    </r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</si>
  <si>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Douze millions   (12 000 000)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</si>
  <si>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050</t>
    </r>
  </si>
  <si>
    <r>
      <t xml:space="preserve"> Bordereau N°: </t>
    </r>
    <r>
      <rPr>
        <b/>
        <sz val="13"/>
        <color theme="1"/>
        <rFont val="Times New Roman"/>
        <family val="1"/>
      </rPr>
      <t>011</t>
    </r>
  </si>
  <si>
    <t>BORDEREAU D'EMISSION DE BANQUES D'ENREGISTREMENT &amp; FRAIS GENERAUX</t>
  </si>
  <si>
    <t>Du 18 au 26/08/2015</t>
  </si>
  <si>
    <t>0051</t>
  </si>
  <si>
    <t>SARL DIXSTONE</t>
  </si>
  <si>
    <t>Du 26/12/24 au 26/12/2025</t>
  </si>
  <si>
    <t>Du 21 au 26/08/2016</t>
  </si>
  <si>
    <t>0052</t>
  </si>
  <si>
    <t>ADDAX PETROLEUM</t>
  </si>
  <si>
    <t>Du 12/03/25 au 18/03/2026</t>
  </si>
  <si>
    <t>ANAC</t>
  </si>
  <si>
    <t>De Jancier à Juillet 2015</t>
  </si>
  <si>
    <t>LIBREVILLE</t>
  </si>
  <si>
    <t>0053</t>
  </si>
  <si>
    <t>AFRICA UNITED</t>
  </si>
  <si>
    <t>Du 01/04 au 31/05/2025</t>
  </si>
  <si>
    <t>OK</t>
  </si>
  <si>
    <t>MINISTERE DES TRANSPORTS</t>
  </si>
  <si>
    <t>0054</t>
  </si>
  <si>
    <t xml:space="preserve">AFRIJET </t>
  </si>
  <si>
    <t>Du 01/04 au 30/04/2025</t>
  </si>
  <si>
    <t>0055</t>
  </si>
  <si>
    <t>Du 01/05 au 31/05/2025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</si>
  <si>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Six millions cinq cent quatre vingt dix mille trois cent quatre vingt quatre</t>
    </r>
    <r>
      <rPr>
        <b/>
        <i/>
        <sz val="11"/>
        <color theme="1"/>
        <rFont val="Times New Roman"/>
        <family val="1"/>
      </rPr>
      <t xml:space="preserve"> 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</si>
  <si>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Cinq millions six cent dix-huit mille  (5 618 000)francs.CFA</t>
    </r>
  </si>
  <si>
    <r>
      <t xml:space="preserve"> Bordereau N°: </t>
    </r>
    <r>
      <rPr>
        <b/>
        <sz val="13"/>
        <color theme="1"/>
        <rFont val="Times New Roman"/>
        <family val="1"/>
      </rPr>
      <t>051</t>
    </r>
  </si>
  <si>
    <t xml:space="preserve"> Bordereau N°: 012</t>
  </si>
  <si>
    <t xml:space="preserve">BORDEREAU D'EMISSION DE BANQUES D'ENREGISTREMENT </t>
  </si>
  <si>
    <t xml:space="preserve">BORDEREAU D'EMISSION DES CONVENTIONS DOMANIALES </t>
  </si>
  <si>
    <t>Du 27au 31/08/2015</t>
  </si>
  <si>
    <t>0056</t>
  </si>
  <si>
    <t>AFRIJET MVENGUE</t>
  </si>
  <si>
    <t>Du 28 au 31/08/2015</t>
  </si>
  <si>
    <t>0057</t>
  </si>
  <si>
    <t>AFRIJET FLY</t>
  </si>
  <si>
    <t>Du 21 au 30/08/2015</t>
  </si>
  <si>
    <t>0058</t>
  </si>
  <si>
    <t>RESTAURANT ESCALE MVENGUE</t>
  </si>
  <si>
    <t>0059</t>
  </si>
  <si>
    <t>0060</t>
  </si>
  <si>
    <t>0061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</si>
  <si>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Deux cent dix mille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</si>
  <si>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Dix-huit millions neuf  cent quatre vingt  dix  neuf mille   (18 999 000)  francs.CFA</t>
    </r>
  </si>
  <si>
    <t>L'ORDONNATEUR SECONDAIRE</t>
  </si>
  <si>
    <t>Theodore NDONG</t>
  </si>
  <si>
    <r>
      <t xml:space="preserve"> Bordereau N°: </t>
    </r>
    <r>
      <rPr>
        <b/>
        <sz val="13"/>
        <color theme="1"/>
        <rFont val="Times New Roman"/>
        <family val="1"/>
      </rPr>
      <t>052</t>
    </r>
  </si>
  <si>
    <r>
      <t xml:space="preserve"> Bordereau N°: </t>
    </r>
    <r>
      <rPr>
        <b/>
        <sz val="13"/>
        <color theme="1"/>
        <rFont val="Times New Roman"/>
        <family val="1"/>
      </rPr>
      <t>013</t>
    </r>
  </si>
  <si>
    <t xml:space="preserve">TROPICAL AIR </t>
  </si>
  <si>
    <t>Du 2au 31/08/2015</t>
  </si>
  <si>
    <t>0062</t>
  </si>
  <si>
    <t>GLOBAL MAINT.MANUTENTION</t>
  </si>
  <si>
    <t>0063</t>
  </si>
  <si>
    <t>MADAME KODIA</t>
  </si>
  <si>
    <t>Du 21 au 31/08/2015</t>
  </si>
  <si>
    <t>0064</t>
  </si>
  <si>
    <t>0065</t>
  </si>
  <si>
    <t>0066</t>
  </si>
  <si>
    <t>EQUAFLIGHT</t>
  </si>
  <si>
    <t>Du 25 au 29/08/2015</t>
  </si>
  <si>
    <t>0067</t>
  </si>
  <si>
    <t>BAR VIP LIBAMA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</si>
  <si>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Deux millions cent cinquante six mille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</si>
  <si>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Treize millions neuf cent quatre-vingt douze mille huit cent (13 992 800)francs.CFA</t>
    </r>
  </si>
  <si>
    <t>L'ORDONNATEUR SECONDAIRE pi</t>
  </si>
  <si>
    <r>
      <t xml:space="preserve"> Bordereau N°: </t>
    </r>
    <r>
      <rPr>
        <b/>
        <sz val="13"/>
        <color theme="1"/>
        <rFont val="Times New Roman"/>
        <family val="1"/>
      </rPr>
      <t>053</t>
    </r>
  </si>
  <si>
    <r>
      <t xml:space="preserve"> Bordereau N°: </t>
    </r>
    <r>
      <rPr>
        <b/>
        <sz val="13"/>
        <color theme="1"/>
        <rFont val="Times New Roman"/>
        <family val="1"/>
      </rPr>
      <t>019</t>
    </r>
  </si>
  <si>
    <t xml:space="preserve">BORDEREAU D'EMISSION DES BANQUES D'ENREGISTREMENT ET CONVENTIONS DOMANIALES </t>
  </si>
  <si>
    <t>Du 01 au 05/09/2015</t>
  </si>
  <si>
    <t>094</t>
  </si>
  <si>
    <t>GABON TELECOM</t>
  </si>
  <si>
    <t>Du 01 au 06/09/2015</t>
  </si>
  <si>
    <t>095</t>
  </si>
  <si>
    <t xml:space="preserve">PORT-GENTIL </t>
  </si>
  <si>
    <t>Du 02 au 06/09/2015</t>
  </si>
  <si>
    <t>096</t>
  </si>
  <si>
    <t>097</t>
  </si>
  <si>
    <t>098</t>
  </si>
  <si>
    <t>AFRIJET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</si>
  <si>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 Neuf cent dix mille francs.CFA</t>
    </r>
  </si>
  <si>
    <t>Liquidé le présent bordereau à la somme de : Cinq millions quatre cent quarante mille (5 440 000) francs cfa</t>
  </si>
  <si>
    <t>ASSA MEBVIGNET née MBOUMBA Andréa</t>
  </si>
  <si>
    <t>Brice Thierry Arist SOKI</t>
  </si>
  <si>
    <r>
      <t xml:space="preserve"> Bordereau N°: </t>
    </r>
    <r>
      <rPr>
        <b/>
        <sz val="13"/>
        <color theme="1"/>
        <rFont val="Times New Roman"/>
        <family val="1"/>
      </rPr>
      <t>054</t>
    </r>
  </si>
  <si>
    <r>
      <t xml:space="preserve"> Bordereau N°: </t>
    </r>
    <r>
      <rPr>
        <b/>
        <sz val="13"/>
        <color theme="1"/>
        <rFont val="Times New Roman"/>
        <family val="1"/>
      </rPr>
      <t>020</t>
    </r>
  </si>
  <si>
    <t>BORDEREAU D'EMISSION DE BANQUES D'ENREGISTREMENT &amp; CONVENTIONS DOMANIALES</t>
  </si>
  <si>
    <t>Du 01 au 10/09/2015</t>
  </si>
  <si>
    <t>099</t>
  </si>
  <si>
    <t>Du 27/06 au 15/07/2025</t>
  </si>
  <si>
    <t>100</t>
  </si>
  <si>
    <t>Du 17/07 au 02/08/2025</t>
  </si>
  <si>
    <t>Du 02 au 09/09/2015</t>
  </si>
  <si>
    <t>101</t>
  </si>
  <si>
    <t>Du 25/02 au 11/04 2025</t>
  </si>
  <si>
    <t>102</t>
  </si>
  <si>
    <t>Du 11/04 au 30/05/2025</t>
  </si>
  <si>
    <t>NZENGUE NZENGUE</t>
  </si>
  <si>
    <t>01/08 au 31/12/2015</t>
  </si>
  <si>
    <t>103</t>
  </si>
  <si>
    <t>Du 04/06 au 25/07/2025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</si>
  <si>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Un million six cent cinquante mille  francs.CFA</t>
    </r>
  </si>
  <si>
    <t>Liquidé le présent bordereau à la somme de : Deux millions cinq cent cinquante mille (2 550 000) francs cfa</t>
  </si>
  <si>
    <t xml:space="preserve"> </t>
  </si>
  <si>
    <r>
      <t xml:space="preserve"> Bordereau N°: </t>
    </r>
    <r>
      <rPr>
        <b/>
        <sz val="13"/>
        <color theme="1"/>
        <rFont val="Times New Roman"/>
        <family val="1"/>
      </rPr>
      <t>055</t>
    </r>
  </si>
  <si>
    <r>
      <t xml:space="preserve"> Bordereau N°: </t>
    </r>
    <r>
      <rPr>
        <b/>
        <sz val="13"/>
        <color theme="1"/>
        <rFont val="Times New Roman"/>
        <family val="1"/>
      </rPr>
      <t>021</t>
    </r>
  </si>
  <si>
    <t>BORDEREAU D'EMISSION DES BANQUES D'ENREGISTREMENT, CONVENTION DOMANIALE ET PARKING</t>
  </si>
  <si>
    <t>Du 07 au 12/09/2015</t>
  </si>
  <si>
    <t>104</t>
  </si>
  <si>
    <t>AFRIJET BUSINESS</t>
  </si>
  <si>
    <t>Du 07/07 au 31/07/2025</t>
  </si>
  <si>
    <t>OYEM</t>
  </si>
  <si>
    <t>105</t>
  </si>
  <si>
    <t>GESPARC</t>
  </si>
  <si>
    <t>Du 01/09 au 31/12/2025</t>
  </si>
  <si>
    <t>106</t>
  </si>
  <si>
    <t>CLIENTS PARKING</t>
  </si>
  <si>
    <t>Du 01/06 au 30/06/2025</t>
  </si>
  <si>
    <t>Du 07 au 13/09/2015</t>
  </si>
  <si>
    <t>107</t>
  </si>
  <si>
    <t>Du 01/07 au 30/07/2025</t>
  </si>
  <si>
    <t>Du 08 au 12/09/2015</t>
  </si>
  <si>
    <t>56</t>
  </si>
  <si>
    <t xml:space="preserve">HELI UNION </t>
  </si>
  <si>
    <t>Du 01 au 31/01/2020</t>
  </si>
  <si>
    <t>AFRIC  AVIATION</t>
  </si>
  <si>
    <t>01</t>
  </si>
  <si>
    <t xml:space="preserve">AVANTIS </t>
  </si>
  <si>
    <t>Du 01 au 31/12/2020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</si>
  <si>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Un million cent quarante huit mille</t>
    </r>
    <r>
      <rPr>
        <b/>
        <i/>
        <sz val="11"/>
        <color theme="1"/>
        <rFont val="Times New Roman"/>
        <family val="1"/>
      </rPr>
      <t xml:space="preserve"> francs.CFA</t>
    </r>
  </si>
  <si>
    <t>Liquidé le présent bordereau à la somme de : Cinq millions quatre cent trente-trois mille trois cent-un (5 433 301) francs cfa</t>
  </si>
  <si>
    <t xml:space="preserve">L'ORDONNATEUR SECONDAIRE  </t>
  </si>
  <si>
    <r>
      <t xml:space="preserve">     </t>
    </r>
    <r>
      <rPr>
        <b/>
        <u/>
        <sz val="12"/>
        <color theme="1"/>
        <rFont val="Times New Roman"/>
        <family val="1"/>
      </rPr>
      <t>Jean PAMBO BOUASSA</t>
    </r>
  </si>
  <si>
    <r>
      <t xml:space="preserve"> Bordereau N°: </t>
    </r>
    <r>
      <rPr>
        <b/>
        <sz val="13"/>
        <color theme="1"/>
        <rFont val="Times New Roman"/>
        <family val="1"/>
      </rPr>
      <t>056</t>
    </r>
  </si>
  <si>
    <t xml:space="preserve"> Bordereau N°: 22</t>
  </si>
  <si>
    <t>Du 11 au 17/09/2015</t>
  </si>
  <si>
    <t>108</t>
  </si>
  <si>
    <t>Du 11 au 16/09/2015</t>
  </si>
  <si>
    <t>109</t>
  </si>
  <si>
    <t>110</t>
  </si>
  <si>
    <t>Du 02/07 au 31/07/2025</t>
  </si>
  <si>
    <t>111</t>
  </si>
  <si>
    <t>Du 01/07 au 31/07/2025</t>
  </si>
  <si>
    <t>112</t>
  </si>
  <si>
    <t>Du 01/08 au 31/08/2025</t>
  </si>
  <si>
    <r>
      <t>Liquidé le présent bordereau à la somme de :</t>
    </r>
    <r>
      <rPr>
        <b/>
        <sz val="11"/>
        <color theme="1"/>
        <rFont val="Times New Roman"/>
        <family val="1"/>
      </rPr>
      <t>Cent quatre-vingt mille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</si>
  <si>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Cinq</t>
    </r>
    <r>
      <rPr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millions cent trois mille (5 103 000) francs.CFA</t>
    </r>
  </si>
  <si>
    <r>
      <t xml:space="preserve"> Bordereau N°: </t>
    </r>
    <r>
      <rPr>
        <b/>
        <sz val="13"/>
        <color theme="1"/>
        <rFont val="Times New Roman"/>
        <family val="1"/>
      </rPr>
      <t>057</t>
    </r>
  </si>
  <si>
    <r>
      <t xml:space="preserve"> Bordereau N°: </t>
    </r>
    <r>
      <rPr>
        <b/>
        <sz val="13"/>
        <color theme="1"/>
        <rFont val="Times New Roman"/>
        <family val="1"/>
      </rPr>
      <t>023</t>
    </r>
  </si>
  <si>
    <t>BORDEREAU D'EMISSION DE  CONVENTION DOMANIALE &amp; PARKING</t>
  </si>
  <si>
    <t>Du 14 au 19/09/2015</t>
  </si>
  <si>
    <t>113</t>
  </si>
  <si>
    <t>Du 01/08 au31/08/2025</t>
  </si>
  <si>
    <t xml:space="preserve">MVENGUE </t>
  </si>
  <si>
    <t>Du 14 au 20/09/2015</t>
  </si>
  <si>
    <t>114</t>
  </si>
  <si>
    <t>115</t>
  </si>
  <si>
    <t>NATIONALE REGIONALE T.</t>
  </si>
  <si>
    <t>Du 01/09 au31/012/2025</t>
  </si>
  <si>
    <t>116</t>
  </si>
  <si>
    <t>Du 15 au 20/09/2015</t>
  </si>
  <si>
    <t>001</t>
  </si>
  <si>
    <t>OLIVIER FACILITING M.</t>
  </si>
  <si>
    <t>Du 20/01 au 20/04/2024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</si>
  <si>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>Un million cent soixante seize mille</t>
    </r>
    <r>
      <rPr>
        <b/>
        <i/>
        <sz val="11"/>
        <color theme="1"/>
        <rFont val="Times New Roman"/>
        <family val="1"/>
      </rPr>
      <t xml:space="preserve">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</si>
  <si>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Deux millions cinq cent quarante-six mille trois-cent vingt -huit  (2 546 328) francs.CFA</t>
    </r>
  </si>
  <si>
    <r>
      <t xml:space="preserve"> Bordereau N°: </t>
    </r>
    <r>
      <rPr>
        <b/>
        <sz val="13"/>
        <color theme="1"/>
        <rFont val="Times New Roman"/>
        <family val="1"/>
      </rPr>
      <t>058</t>
    </r>
  </si>
  <si>
    <r>
      <t xml:space="preserve"> Bordereau N°: </t>
    </r>
    <r>
      <rPr>
        <b/>
        <sz val="13"/>
        <color theme="1"/>
        <rFont val="Times New Roman"/>
        <family val="1"/>
      </rPr>
      <t>024</t>
    </r>
  </si>
  <si>
    <t>BORDEREAU D'EMISSION DES BANQUES D'ENREGISTREMENT ET PARKING</t>
  </si>
  <si>
    <t>Du 18 au 26/09/2015</t>
  </si>
  <si>
    <t>117</t>
  </si>
  <si>
    <t>Du 27/08 au 31/08/2025</t>
  </si>
  <si>
    <t>118</t>
  </si>
  <si>
    <t>Du 01/09au 29/09/2025</t>
  </si>
  <si>
    <t>119</t>
  </si>
  <si>
    <t>Du 01/09 au 29/09/2025</t>
  </si>
  <si>
    <t>Du 18 au 27/09/2015</t>
  </si>
  <si>
    <t>120</t>
  </si>
  <si>
    <r>
      <t>Liquidé le présent bordereau à la somme de :</t>
    </r>
    <r>
      <rPr>
        <b/>
        <sz val="11"/>
        <color theme="1"/>
        <rFont val="Times New Roman"/>
        <family val="1"/>
      </rPr>
      <t xml:space="preserve">Deux cent soixante mille </t>
    </r>
    <r>
      <rPr>
        <b/>
        <i/>
        <sz val="11"/>
        <color theme="1"/>
        <rFont val="Times New Roman"/>
        <family val="1"/>
      </rPr>
      <t xml:space="preserve"> francs.CFA</t>
    </r>
  </si>
  <si>
    <r>
      <t>Liquidé le présent bordereau à la somme de : Deux millions quatre- cent mille  trois -cent cinquante</t>
    </r>
    <r>
      <rPr>
        <b/>
        <i/>
        <sz val="11"/>
        <color theme="1"/>
        <rFont val="Times New Roman"/>
        <family val="1"/>
      </rPr>
      <t xml:space="preserve">  (2 400 350) 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</si>
  <si>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059</t>
    </r>
  </si>
  <si>
    <t xml:space="preserve"> Bordereau N°: 030</t>
  </si>
  <si>
    <t>BORDEREAU D'EMISSION  DE CONVENTION DOMANIALE</t>
  </si>
  <si>
    <t xml:space="preserve">        N</t>
  </si>
  <si>
    <t xml:space="preserve">  </t>
  </si>
  <si>
    <t>Du 21 au 30/09/2015</t>
  </si>
  <si>
    <t>141</t>
  </si>
  <si>
    <t>Du 07/10 au 31/10/2025</t>
  </si>
  <si>
    <t>142</t>
  </si>
  <si>
    <t>Du 03/11 au 28/11/2025</t>
  </si>
  <si>
    <t>143</t>
  </si>
  <si>
    <t>Du 02/11 au 30/11/2025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</si>
  <si>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Un million sept cent huit mille  francs.CFA</t>
    </r>
  </si>
  <si>
    <r>
      <t>Liquidé le présent bordereau à la somme de :</t>
    </r>
    <r>
      <rPr>
        <b/>
        <i/>
        <sz val="15"/>
        <color theme="1"/>
        <rFont val="Times New Roman"/>
        <family val="1"/>
      </rPr>
      <t>Cinq cent trente mille (530 000)francs.CFA</t>
    </r>
  </si>
  <si>
    <r>
      <t xml:space="preserve"> Bordereau N°: </t>
    </r>
    <r>
      <rPr>
        <b/>
        <sz val="13"/>
        <color theme="1"/>
        <rFont val="Times New Roman"/>
        <family val="1"/>
      </rPr>
      <t>060</t>
    </r>
  </si>
  <si>
    <r>
      <t xml:space="preserve"> Bordereau N°: </t>
    </r>
    <r>
      <rPr>
        <b/>
        <sz val="13"/>
        <color theme="1"/>
        <rFont val="Times New Roman"/>
        <family val="1"/>
      </rPr>
      <t>031</t>
    </r>
  </si>
  <si>
    <t>BORDEREAU D'EMISSION DES BANQUES D'ENREGISTREMENT ET CONVENTIONS DOMANIALES</t>
  </si>
  <si>
    <t>Du 27 au 30/09/2015</t>
  </si>
  <si>
    <t>144</t>
  </si>
  <si>
    <t>Du 28 au 30/09/2015</t>
  </si>
  <si>
    <t>145</t>
  </si>
  <si>
    <t>146</t>
  </si>
  <si>
    <t>Laurette Josette ASSENG EKANKANG</t>
  </si>
  <si>
    <t>Du 01/05 au 31/12/2025</t>
  </si>
  <si>
    <t>147</t>
  </si>
  <si>
    <t>TOTAL ENERGIES</t>
  </si>
  <si>
    <r>
      <t>Liquidé le présent bordereau à la somme de :</t>
    </r>
    <r>
      <rPr>
        <b/>
        <sz val="11"/>
        <color theme="1"/>
        <rFont val="Times New Roman"/>
        <family val="1"/>
      </rPr>
      <t xml:space="preserve">Cent quarante mille </t>
    </r>
    <r>
      <rPr>
        <b/>
        <i/>
        <sz val="11"/>
        <color theme="1"/>
        <rFont val="Times New Roman"/>
        <family val="1"/>
      </rPr>
      <t xml:space="preserve"> francs.CFA</t>
    </r>
  </si>
  <si>
    <r>
      <t>Liquidé le présent bordereau à la somme de :Deux millions sept cent quatre vingt- dix mille quatre cent soixante quinze</t>
    </r>
    <r>
      <rPr>
        <b/>
        <i/>
        <sz val="11"/>
        <color theme="1"/>
        <rFont val="Times New Roman"/>
        <family val="1"/>
      </rPr>
      <t xml:space="preserve"> (2 790 475)francs.CFA</t>
    </r>
  </si>
  <si>
    <r>
      <t xml:space="preserve"> Bordereau N°: </t>
    </r>
    <r>
      <rPr>
        <b/>
        <sz val="13"/>
        <color theme="1"/>
        <rFont val="Times New Roman"/>
        <family val="1"/>
      </rPr>
      <t>061</t>
    </r>
  </si>
  <si>
    <r>
      <t xml:space="preserve"> Bordereau N°: </t>
    </r>
    <r>
      <rPr>
        <b/>
        <sz val="13"/>
        <color theme="1"/>
        <rFont val="Times New Roman"/>
        <family val="1"/>
      </rPr>
      <t>032</t>
    </r>
  </si>
  <si>
    <t>Du 01 au 03/10/2015</t>
  </si>
  <si>
    <t>148</t>
  </si>
  <si>
    <t>Du 01/11 au 30/11/2025</t>
  </si>
  <si>
    <t>149</t>
  </si>
  <si>
    <t>AVANTIS AVIATION ET SERVICES</t>
  </si>
  <si>
    <t>Du 01 au 04/10/2015</t>
  </si>
  <si>
    <t>150</t>
  </si>
  <si>
    <t>151</t>
  </si>
  <si>
    <r>
      <t>Liquidé le présent bordereau à la somme de :</t>
    </r>
    <r>
      <rPr>
        <b/>
        <sz val="11"/>
        <color theme="1"/>
        <rFont val="Times New Roman"/>
        <family val="1"/>
      </rPr>
      <t xml:space="preserve">Six cent soixante-douze mille </t>
    </r>
    <r>
      <rPr>
        <b/>
        <i/>
        <sz val="11"/>
        <color theme="1"/>
        <rFont val="Times New Roman"/>
        <family val="1"/>
      </rPr>
      <t xml:space="preserve"> francs.CFA</t>
    </r>
  </si>
  <si>
    <r>
      <t xml:space="preserve">Liquidé le présent bordereau à la somme de : Trois </t>
    </r>
    <r>
      <rPr>
        <b/>
        <i/>
        <sz val="11"/>
        <color theme="1"/>
        <rFont val="Times New Roman"/>
        <family val="1"/>
      </rPr>
      <t>millions trois cent quatre vingt-huit mille cinq cent (3 388 500)Francs.CFA</t>
    </r>
  </si>
  <si>
    <r>
      <t xml:space="preserve"> Bordereau N°: </t>
    </r>
    <r>
      <rPr>
        <b/>
        <sz val="13"/>
        <color theme="1"/>
        <rFont val="Times New Roman"/>
        <family val="1"/>
      </rPr>
      <t>062</t>
    </r>
  </si>
  <si>
    <r>
      <t xml:space="preserve"> Bordereau N°: </t>
    </r>
    <r>
      <rPr>
        <b/>
        <sz val="13"/>
        <color theme="1"/>
        <rFont val="Times New Roman"/>
        <family val="1"/>
      </rPr>
      <t>018</t>
    </r>
  </si>
  <si>
    <t>EXERCICE: 2024</t>
  </si>
  <si>
    <t>BORDEREAU D'EMISSION DE BANQUES D'ENREGISTREMENT &amp;  CONVENTION DOMANIALE</t>
  </si>
  <si>
    <t>BORDEREAU D'EMISSION DES BANQUES D'ENREGISTREMENT &amp; LOCATION SALLE</t>
  </si>
  <si>
    <t>ASECNA/DG</t>
  </si>
  <si>
    <t>De Mai à Septembre 2015</t>
  </si>
  <si>
    <t>085</t>
  </si>
  <si>
    <t>Du 01/07 au 12/07/2024</t>
  </si>
  <si>
    <t>086</t>
  </si>
  <si>
    <t>Du 01/06 au 30/06/2024</t>
  </si>
  <si>
    <t xml:space="preserve">BOUATSIA DINA Micchel </t>
  </si>
  <si>
    <t>De Octobre à Decembre 2015</t>
  </si>
  <si>
    <t>087</t>
  </si>
  <si>
    <t>Du 01/05 au 31/05/2024</t>
  </si>
  <si>
    <t>088</t>
  </si>
  <si>
    <t>Du 02/06 au 30/06/2024</t>
  </si>
  <si>
    <t>089</t>
  </si>
  <si>
    <t>Du 29/04 au 01/05/2024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</si>
  <si>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 millions quatre cent soixante seize mille sept cent  cinq 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</si>
  <si>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Quatre millions   cent cinquante-huit mille  (4 158 000) Francs.CFA</t>
    </r>
  </si>
  <si>
    <r>
      <t xml:space="preserve">     </t>
    </r>
    <r>
      <rPr>
        <b/>
        <u/>
        <sz val="12"/>
        <color theme="1"/>
        <rFont val="Times New Roman"/>
        <family val="1"/>
      </rPr>
      <t>Gilbert Faustin MANDAGHA</t>
    </r>
  </si>
  <si>
    <t>Yvette ZAME NDONG</t>
  </si>
  <si>
    <r>
      <t xml:space="preserve"> Bordereau N°: </t>
    </r>
    <r>
      <rPr>
        <b/>
        <sz val="13"/>
        <color theme="1"/>
        <rFont val="Times New Roman"/>
        <family val="1"/>
      </rPr>
      <t>063</t>
    </r>
  </si>
  <si>
    <t>Du 05 au 10/10/2015</t>
  </si>
  <si>
    <t>090</t>
  </si>
  <si>
    <t>Du 23/07 au 05/08/2024</t>
  </si>
  <si>
    <t>Du 05 au 11/10/2015</t>
  </si>
  <si>
    <t>091</t>
  </si>
  <si>
    <t>Du 13/04 au 23/07/2024</t>
  </si>
  <si>
    <t>092</t>
  </si>
  <si>
    <t>Du 01/07 au 31/07/2024</t>
  </si>
  <si>
    <t>093</t>
  </si>
  <si>
    <t>MBA ZOGO MINTSA GERMAINE</t>
  </si>
  <si>
    <t>MITZIC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</si>
  <si>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deux cent quatre mille  francs.CFA</t>
    </r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</si>
  <si>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>Trois</t>
    </r>
    <r>
      <rPr>
        <b/>
        <i/>
        <sz val="11"/>
        <color theme="1"/>
        <rFont val="Times New Roman"/>
        <family val="1"/>
      </rPr>
      <t xml:space="preserve"> millions huit cent  quatre-vingt-treize  mille cent (3 893100) francs.CFA</t>
    </r>
  </si>
  <si>
    <r>
      <t xml:space="preserve"> Bordereau N°: </t>
    </r>
    <r>
      <rPr>
        <b/>
        <sz val="13"/>
        <color theme="1"/>
        <rFont val="Times New Roman"/>
        <family val="1"/>
      </rPr>
      <t>064</t>
    </r>
  </si>
  <si>
    <t>BORDEREAU D'EMISSION DES BANDES D'ENREGISTREMENTS &amp; CONVENTIONS DOMANIALES</t>
  </si>
  <si>
    <t>Du 01 au 10/10/2015</t>
  </si>
  <si>
    <t>AFRIJET MVG</t>
  </si>
  <si>
    <t>Du 01/07 au 31/12/2023</t>
  </si>
  <si>
    <t>Du 02 au 07/10/2015</t>
  </si>
  <si>
    <t>005</t>
  </si>
  <si>
    <t>006</t>
  </si>
  <si>
    <t>Du 08 au 10/10/2015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</si>
  <si>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Quatre  millions cinq cent  soixante-dix-neuf mille huit cent (4 579 800)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</si>
  <si>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 Trois cent quarante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</si>
  <si>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065</t>
    </r>
  </si>
  <si>
    <t>BORDEREAU D'EMISSION DES BANDES D'ENREGISTREMENTS &amp; CONVENTIONS</t>
  </si>
  <si>
    <t>De 2018 au 31/12/2023</t>
  </si>
  <si>
    <t>DAVE</t>
  </si>
  <si>
    <t>Du 12 au 17/10/2015</t>
  </si>
  <si>
    <t>Du 12 au 18/10/2015</t>
  </si>
  <si>
    <t xml:space="preserve">Du 02/08 au 30/08/2024 </t>
  </si>
  <si>
    <t>Du 13 au 17/10/2015</t>
  </si>
  <si>
    <t>AFRIJET MVG 2</t>
  </si>
  <si>
    <t xml:space="preserve">Du 01/01 au 31/12/2024 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</si>
  <si>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Vingt-un millions deux cent quatre-vingt-dix  mille six cent (21 290 600)  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</si>
  <si>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cent six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</si>
  <si>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022</t>
    </r>
  </si>
  <si>
    <r>
      <t xml:space="preserve"> Bordereau N°: </t>
    </r>
    <r>
      <rPr>
        <b/>
        <sz val="13"/>
        <color theme="1"/>
        <rFont val="Times New Roman"/>
        <family val="1"/>
      </rPr>
      <t>066</t>
    </r>
  </si>
  <si>
    <t xml:space="preserve">BORDEREAU D'EMISSION DE BANQUES D'ENREGISTREMENT &amp; CONVENTION DOMANIALE </t>
  </si>
  <si>
    <t>Du 05/08 au 15/08/2024</t>
  </si>
  <si>
    <t>Du 15 au 16/10/2015</t>
  </si>
  <si>
    <t xml:space="preserve">Du 01/07 au 01/08/2024 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</si>
  <si>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Un million deux cent soixante-douze mille cinq cent (1 272 500)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</si>
  <si>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Cent cinquante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</si>
  <si>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067</t>
    </r>
  </si>
  <si>
    <t>BORDEREAU D'EMISSION DES  BANQUES D'ENREGISTREMENT &amp; PARKING</t>
  </si>
  <si>
    <t>N°FACTURE</t>
  </si>
  <si>
    <t>Du 19 au 31/10/2015</t>
  </si>
  <si>
    <t>Du 02/08 au 01/09/2024</t>
  </si>
  <si>
    <t>Du 16 au 31/10/2015</t>
  </si>
  <si>
    <t>Du 01/08 au 31/08/2024</t>
  </si>
  <si>
    <t>Du 23 au 25/10/2015</t>
  </si>
  <si>
    <t>Du 16/08 au 07/09/2024</t>
  </si>
  <si>
    <t>Du 20 au 31/10/2015</t>
  </si>
  <si>
    <r>
      <t xml:space="preserve">Liquidé le présent bordereau à la somme de </t>
    </r>
    <r>
      <rPr>
        <i/>
        <sz val="11"/>
        <color theme="1"/>
        <rFont val="Times New Roman"/>
        <family val="1"/>
      </rPr>
      <t>:</t>
    </r>
    <r>
      <rPr>
        <b/>
        <i/>
        <sz val="11"/>
        <color theme="1"/>
        <rFont val="Times New Roman"/>
        <family val="1"/>
      </rPr>
      <t>Quatre  millions deux  cent  quarante-six mille cent (4 246 100) 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</si>
  <si>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sept cent  cinquante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</si>
  <si>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068</t>
    </r>
  </si>
  <si>
    <t>Du 03/05 au 03/07/2024</t>
  </si>
  <si>
    <t>Du 22 au 27/10/2015</t>
  </si>
  <si>
    <t>Du 27/11/2023 au 12/01/2024</t>
  </si>
  <si>
    <t>Du 28 au 30/10/2015</t>
  </si>
  <si>
    <t>Du 23/09 au 02/10/2024</t>
  </si>
  <si>
    <t>Du 30/10 au 4/11/2015</t>
  </si>
  <si>
    <t>Du 09/09 au 22/09/2024</t>
  </si>
  <si>
    <t>Du 03/10 au 14/10/2024</t>
  </si>
  <si>
    <t>Du 01 au 04/11/2015</t>
  </si>
  <si>
    <t>Du 01/09 au 30/09/2024</t>
  </si>
  <si>
    <t>Du 01 au 05/11/2015</t>
  </si>
  <si>
    <r>
      <t>Liquidé le présent bordereau à la somme de : T</t>
    </r>
    <r>
      <rPr>
        <b/>
        <i/>
        <sz val="11"/>
        <color theme="1"/>
        <rFont val="Times New Roman"/>
        <family val="1"/>
      </rPr>
      <t>rois millions six cent cinquante sept mille 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</si>
  <si>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Trois cent quarante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</si>
  <si>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025</t>
    </r>
  </si>
  <si>
    <r>
      <t xml:space="preserve"> Bordereau N°: </t>
    </r>
    <r>
      <rPr>
        <b/>
        <sz val="13"/>
        <color theme="1"/>
        <rFont val="Times New Roman"/>
        <family val="1"/>
      </rPr>
      <t>069</t>
    </r>
  </si>
  <si>
    <t>BORDEREAU D'EMISSION DES BANQUES D'ENREGISTREMENT&amp; PARKING</t>
  </si>
  <si>
    <t>Du 02/09 au 30/09/2024</t>
  </si>
  <si>
    <t>Du 06 au 09/11/2015</t>
  </si>
  <si>
    <t>Du 01/09 au 29/09/2024</t>
  </si>
  <si>
    <t>Du 04/07 au 02/09/2024</t>
  </si>
  <si>
    <t>Du 06 au 08/11/2015</t>
  </si>
  <si>
    <t>CLIENT PARKING</t>
  </si>
  <si>
    <t>Du 01/10 au 31/10/2024</t>
  </si>
  <si>
    <r>
      <t>Liquidé le présent bordereau à la somme de :Six</t>
    </r>
    <r>
      <rPr>
        <b/>
        <i/>
        <sz val="11"/>
        <color theme="1"/>
        <rFont val="Times New Roman"/>
        <family val="1"/>
      </rPr>
      <t xml:space="preserve"> millions neuf cent quatre-vingt huit mille neuf cent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</si>
  <si>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 Cent dix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</si>
  <si>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026</t>
    </r>
  </si>
  <si>
    <r>
      <t xml:space="preserve"> Bordereau N°: </t>
    </r>
    <r>
      <rPr>
        <b/>
        <sz val="13"/>
        <color theme="1"/>
        <rFont val="Times New Roman"/>
        <family val="1"/>
      </rPr>
      <t>070</t>
    </r>
  </si>
  <si>
    <t>BORDEREAU D'EMISSION DE BANQUES D'ENREGISTREMENT &amp; CONVENTION DOMANIALE</t>
  </si>
  <si>
    <t>Du 02/10 au 31/10/2024</t>
  </si>
  <si>
    <t>BGFIbank SA</t>
  </si>
  <si>
    <t>Du 01/07 au 31/12/2015</t>
  </si>
  <si>
    <t>121</t>
  </si>
  <si>
    <t>Du 01/11 au 29/11/2024</t>
  </si>
  <si>
    <t>122</t>
  </si>
  <si>
    <t>Du 01/11 au 30/11/2024</t>
  </si>
  <si>
    <t>123</t>
  </si>
  <si>
    <t>124</t>
  </si>
  <si>
    <t>125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</si>
  <si>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Quatre millions trois cent cinquante-trois mille cinq cent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</si>
  <si>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sept cent soixante quatre mille sept cent huit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</si>
  <si>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027</t>
    </r>
  </si>
  <si>
    <r>
      <t xml:space="preserve"> Bordereau N°: </t>
    </r>
    <r>
      <rPr>
        <b/>
        <sz val="13"/>
        <color theme="1"/>
        <rFont val="Times New Roman"/>
        <family val="1"/>
      </rPr>
      <t>071</t>
    </r>
  </si>
  <si>
    <t>BORDEREAU D'EMISSION DES BANQUES D'ENREGISTREMENTS ET CONVENTION DOMANIALE</t>
  </si>
  <si>
    <t>126</t>
  </si>
  <si>
    <t>Du 20/10 au 07/11/2024</t>
  </si>
  <si>
    <t>Du 10 au 19/11/2015</t>
  </si>
  <si>
    <t>Du 15/10 au 25/10/2024</t>
  </si>
  <si>
    <t>Du 11 au 18/11/2015</t>
  </si>
  <si>
    <t>Du 08/11 au 20/11/2024</t>
  </si>
  <si>
    <t>Du 21/11 au 07/12/2024</t>
  </si>
  <si>
    <t>Du 11 au 13/11/2015</t>
  </si>
  <si>
    <t>07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</si>
  <si>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Quarante-trois millions cinq cent soixante-un mille 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</si>
  <si>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Trois cent dix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</si>
  <si>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028</t>
    </r>
  </si>
  <si>
    <r>
      <t xml:space="preserve"> Bordereau N°: </t>
    </r>
    <r>
      <rPr>
        <b/>
        <sz val="13"/>
        <color theme="1"/>
        <rFont val="Times New Roman"/>
        <family val="1"/>
      </rPr>
      <t>072</t>
    </r>
  </si>
  <si>
    <t>BORDEREAU D'EMISSION DE CONVENTION</t>
  </si>
  <si>
    <t>131</t>
  </si>
  <si>
    <t>AFRIJET POG</t>
  </si>
  <si>
    <t>Du 02 au 21/11/2015</t>
  </si>
  <si>
    <t>132</t>
  </si>
  <si>
    <t>SATRAM</t>
  </si>
  <si>
    <t>Du 01 au 22/11/2015</t>
  </si>
  <si>
    <t>133</t>
  </si>
  <si>
    <t xml:space="preserve">NGOUNDA </t>
  </si>
  <si>
    <t>134</t>
  </si>
  <si>
    <t>Mme MASSASSA</t>
  </si>
  <si>
    <t>Du 03 au 23/11/2015</t>
  </si>
  <si>
    <r>
      <t xml:space="preserve">Liquidé le présent bordereau à la somme de </t>
    </r>
    <r>
      <rPr>
        <i/>
        <sz val="11"/>
        <color theme="1"/>
        <rFont val="Times New Roman"/>
        <family val="1"/>
      </rPr>
      <t xml:space="preserve">: </t>
    </r>
    <r>
      <rPr>
        <b/>
        <i/>
        <sz val="11"/>
        <color theme="1"/>
        <rFont val="Times New Roman"/>
        <family val="1"/>
      </rPr>
      <t xml:space="preserve"> Huit millions soixante-dix-huit mille (8 078 000) 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</si>
  <si>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 Trois millions six cent vingt huit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</si>
  <si>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073</t>
    </r>
  </si>
  <si>
    <r>
      <t xml:space="preserve"> Bordereau N°: </t>
    </r>
    <r>
      <rPr>
        <b/>
        <sz val="13"/>
        <color theme="1"/>
        <rFont val="Times New Roman"/>
        <family val="1"/>
      </rPr>
      <t>001</t>
    </r>
  </si>
  <si>
    <t>BORDEREAU D'EMISSION DES BANQUES D'ENREGISTREMENT</t>
  </si>
  <si>
    <t>Du 20 au 28/11/2015</t>
  </si>
  <si>
    <t>Du 01/01 au 31/01/2025</t>
  </si>
  <si>
    <t xml:space="preserve">LA NATIONALE </t>
  </si>
  <si>
    <t>Du 20 au 30/11/2015</t>
  </si>
  <si>
    <t>002</t>
  </si>
  <si>
    <t>Du 02/01 au 31/01/2025</t>
  </si>
  <si>
    <t>003</t>
  </si>
  <si>
    <t>Du 09/01 au 23/01/2025</t>
  </si>
  <si>
    <t>004</t>
  </si>
  <si>
    <t>Du 23/12/24 au 08/01/25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</si>
  <si>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 Cent soixante-dix mille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</si>
  <si>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Trois millions quatre cent quatre mille cinq cent</t>
    </r>
    <r>
      <rPr>
        <b/>
        <sz val="11"/>
        <color theme="1"/>
        <rFont val="Times New Roman"/>
        <family val="1"/>
      </rPr>
      <t xml:space="preserve"> (3 404 500)</t>
    </r>
    <r>
      <rPr>
        <b/>
        <i/>
        <sz val="11"/>
        <color theme="1"/>
        <rFont val="Times New Roman"/>
        <family val="1"/>
      </rPr>
      <t xml:space="preserve"> francs.CFA</t>
    </r>
  </si>
  <si>
    <r>
      <t xml:space="preserve"> Bordereau N°: </t>
    </r>
    <r>
      <rPr>
        <b/>
        <sz val="13"/>
        <color theme="1"/>
        <rFont val="Times New Roman"/>
        <family val="1"/>
      </rPr>
      <t>074</t>
    </r>
  </si>
  <si>
    <r>
      <t xml:space="preserve"> Bordereau N°: </t>
    </r>
    <r>
      <rPr>
        <b/>
        <sz val="13"/>
        <color theme="1"/>
        <rFont val="Times New Roman"/>
        <family val="1"/>
      </rPr>
      <t>002</t>
    </r>
  </si>
  <si>
    <t>Du 23 au 30/11/2015</t>
  </si>
  <si>
    <t>Du 02/01 au 28/02/2025</t>
  </si>
  <si>
    <t>Du 23 au 28/11/2015</t>
  </si>
  <si>
    <t>007</t>
  </si>
  <si>
    <t>Du 01/02 au 28/02/2025</t>
  </si>
  <si>
    <t>008</t>
  </si>
  <si>
    <t>Du 07/02 au 20/02/2025</t>
  </si>
  <si>
    <t>009</t>
  </si>
  <si>
    <t>Du 23/01 au 07/02/2025</t>
  </si>
  <si>
    <t>010</t>
  </si>
  <si>
    <r>
      <t>Liquidé le présent bordereau à la somme de : Un million trois cent cinquante huit mille</t>
    </r>
    <r>
      <rPr>
        <b/>
        <i/>
        <sz val="11"/>
        <color theme="1"/>
        <rFont val="Times New Roman"/>
        <family val="1"/>
      </rPr>
      <t xml:space="preserve">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</si>
  <si>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Trois millions  cinquante-sept  mille  cinq cent (3 057 500) francs.CFA</t>
    </r>
  </si>
  <si>
    <r>
      <t xml:space="preserve"> Bordereau N°: </t>
    </r>
    <r>
      <rPr>
        <b/>
        <sz val="13"/>
        <color theme="1"/>
        <rFont val="Times New Roman"/>
        <family val="1"/>
      </rPr>
      <t>075</t>
    </r>
  </si>
  <si>
    <r>
      <t xml:space="preserve"> Bordereau N°: </t>
    </r>
    <r>
      <rPr>
        <b/>
        <sz val="13"/>
        <color theme="1"/>
        <rFont val="Times New Roman"/>
        <family val="1"/>
      </rPr>
      <t>003</t>
    </r>
  </si>
  <si>
    <t>BORDEREAU D'EMISSION DE FACTURES D'AVOIR</t>
  </si>
  <si>
    <t xml:space="preserve">ANAC </t>
  </si>
  <si>
    <t>Du Janvier à Juillet 2015</t>
  </si>
  <si>
    <t>011</t>
  </si>
  <si>
    <t>Du 25/10/24 au 02/01/2025</t>
  </si>
  <si>
    <t>012</t>
  </si>
  <si>
    <t>Du 11/01 au 24/02/2025</t>
  </si>
  <si>
    <t>013</t>
  </si>
  <si>
    <t>Du 02/03 au 31/03/2025</t>
  </si>
  <si>
    <t>014</t>
  </si>
  <si>
    <t>Du 01/03 au 31/03/2025</t>
  </si>
  <si>
    <t>015</t>
  </si>
  <si>
    <r>
      <t>Liquidé le présent bordereau à la somme de : Six millions quatre cent vingt mille trois cent quatre-vingt quatre</t>
    </r>
    <r>
      <rPr>
        <b/>
        <i/>
        <sz val="11"/>
        <color theme="1"/>
        <rFont val="Times New Roman"/>
        <family val="1"/>
      </rPr>
      <t xml:space="preserve">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</si>
  <si>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Trois millions cinq cent quatre-vingt treize  mille ( 3 593 000)francs.CFA</t>
    </r>
  </si>
  <si>
    <r>
      <t xml:space="preserve"> Bordereau N°: </t>
    </r>
    <r>
      <rPr>
        <b/>
        <sz val="13"/>
        <color theme="1"/>
        <rFont val="Times New Roman"/>
        <family val="1"/>
      </rPr>
      <t>076</t>
    </r>
  </si>
  <si>
    <r>
      <t xml:space="preserve"> Bordereau N°: </t>
    </r>
    <r>
      <rPr>
        <b/>
        <sz val="13"/>
        <color theme="1"/>
        <rFont val="Times New Roman"/>
        <family val="1"/>
      </rPr>
      <t>04</t>
    </r>
  </si>
  <si>
    <t>Du 07 au 10/12/ 2015</t>
  </si>
  <si>
    <t>016</t>
  </si>
  <si>
    <t>Du 02/04 au 30/04/2025</t>
  </si>
  <si>
    <t>Du 04 au 08/12/ 2015</t>
  </si>
  <si>
    <t>017</t>
  </si>
  <si>
    <t>Du 20/02 au 05/03/2025</t>
  </si>
  <si>
    <t>018</t>
  </si>
  <si>
    <t>Du 06/03 au 29/03/2025</t>
  </si>
  <si>
    <t>019</t>
  </si>
  <si>
    <t>020</t>
  </si>
  <si>
    <t>Du 30/04 au 13/05/2025</t>
  </si>
  <si>
    <r>
      <t xml:space="preserve">Liquidé le présent bordereau à la somme de : Soixante dix mille </t>
    </r>
    <r>
      <rPr>
        <b/>
        <i/>
        <sz val="11"/>
        <color theme="1"/>
        <rFont val="Times New Roman"/>
        <family val="1"/>
      </rPr>
      <t>francs.CFA</t>
    </r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</si>
  <si>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Quatre millions cent soixante-dix mille (4 170 000) francs.CFA</t>
    </r>
  </si>
  <si>
    <r>
      <t xml:space="preserve"> Bordereau N°: </t>
    </r>
    <r>
      <rPr>
        <b/>
        <sz val="13"/>
        <color theme="1"/>
        <rFont val="Times New Roman"/>
        <family val="1"/>
      </rPr>
      <t>077</t>
    </r>
  </si>
  <si>
    <r>
      <t xml:space="preserve"> Bordereau N°: </t>
    </r>
    <r>
      <rPr>
        <b/>
        <sz val="13"/>
        <color theme="1"/>
        <rFont val="Times New Roman"/>
        <family val="1"/>
      </rPr>
      <t>005</t>
    </r>
  </si>
  <si>
    <t>Du 11 au 14/12/ 2015</t>
  </si>
  <si>
    <t>021</t>
  </si>
  <si>
    <t>CLIENTS PARKING MAI</t>
  </si>
  <si>
    <t>Du 09 au 18/12/ 2015</t>
  </si>
  <si>
    <t>022</t>
  </si>
  <si>
    <t>CLIENTS PARKING AVRIL</t>
  </si>
  <si>
    <t>Du 09 au 16/12/ 2015</t>
  </si>
  <si>
    <t>023</t>
  </si>
  <si>
    <t>CLIENTS PARKING MARS</t>
  </si>
  <si>
    <t>024</t>
  </si>
  <si>
    <t>CLIENTS PARKING FEVR.</t>
  </si>
  <si>
    <t>025</t>
  </si>
  <si>
    <t>CLIENTS PARKING JANV.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</si>
  <si>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Cent quatre-vingt  mille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</si>
  <si>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Deux millions huit cent trente deux mille cinq cent (2 832 500)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</si>
  <si>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078</t>
    </r>
  </si>
  <si>
    <r>
      <t xml:space="preserve"> Bordereau N°: </t>
    </r>
    <r>
      <rPr>
        <b/>
        <sz val="13"/>
        <color theme="1"/>
        <rFont val="Times New Roman"/>
        <family val="1"/>
      </rPr>
      <t>034</t>
    </r>
  </si>
  <si>
    <t>EXERCICE: 2017</t>
  </si>
  <si>
    <t>BORDEREAU D'EMISSION DE BANQUES D'ENREGISTREMENT &amp; PRODUITS DIVERS</t>
  </si>
  <si>
    <t>Du 01 au 05/12/ 2015</t>
  </si>
  <si>
    <t>156</t>
  </si>
  <si>
    <t>Du 05 au 12/11/2017</t>
  </si>
  <si>
    <t>Du 01 au 06/12/ 2015</t>
  </si>
  <si>
    <t>157</t>
  </si>
  <si>
    <t>Du 01 au 12/11/2017</t>
  </si>
  <si>
    <t>158</t>
  </si>
  <si>
    <t>MME LUCIENNE MOUKOKO</t>
  </si>
  <si>
    <t>Du 01/01 au 31/12/2017</t>
  </si>
  <si>
    <t>159</t>
  </si>
  <si>
    <t xml:space="preserve">TOTAL GABON </t>
  </si>
  <si>
    <t>Du 25/08 au 25/09/2016</t>
  </si>
  <si>
    <t>160</t>
  </si>
  <si>
    <t>Du 25/09 au 25/11/2016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</si>
  <si>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Un million soixante-quatre mille francs.CFA</t>
    </r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</si>
  <si>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Soixante-dix-huit  millions cent quatre-vingt-quatorze  mille </t>
    </r>
    <r>
      <rPr>
        <b/>
        <i/>
        <sz val="11"/>
        <color theme="1"/>
        <rFont val="Times New Roman"/>
        <family val="1"/>
      </rPr>
      <t xml:space="preserve"> quatre cent quatre-vingt-un francs.CFA</t>
    </r>
  </si>
  <si>
    <t xml:space="preserve">Charles Théodore NDOUTOUTMOU N. </t>
  </si>
  <si>
    <r>
      <t xml:space="preserve"> Bordereau N°: </t>
    </r>
    <r>
      <rPr>
        <b/>
        <sz val="13"/>
        <color theme="1"/>
        <rFont val="Times New Roman"/>
        <family val="1"/>
      </rPr>
      <t>079</t>
    </r>
  </si>
  <si>
    <r>
      <t xml:space="preserve"> Bordereau N°: </t>
    </r>
    <r>
      <rPr>
        <b/>
        <sz val="13"/>
        <color theme="1"/>
        <rFont val="Times New Roman"/>
        <family val="1"/>
      </rPr>
      <t>035</t>
    </r>
  </si>
  <si>
    <t>161</t>
  </si>
  <si>
    <t>Du 20/09 au 01/10/2017</t>
  </si>
  <si>
    <t>Du 07 au 18/12/ 2015</t>
  </si>
  <si>
    <t>162</t>
  </si>
  <si>
    <t>Du 08/09 au 01/10/2017</t>
  </si>
  <si>
    <t>Du 07 au 13/12/ 2015</t>
  </si>
  <si>
    <t>Du 05 au 12/12/ 2015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</si>
  <si>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Un million trois cent seize mille francs.CFA</t>
    </r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</si>
  <si>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  Trois cent quatre-vingt mille  </t>
    </r>
    <r>
      <rPr>
        <b/>
        <i/>
        <sz val="11"/>
        <color theme="1"/>
        <rFont val="Times New Roman"/>
        <family val="1"/>
      </rPr>
      <t xml:space="preserve"> francs.CFA</t>
    </r>
  </si>
  <si>
    <r>
      <t xml:space="preserve"> Bordereau N°: </t>
    </r>
    <r>
      <rPr>
        <b/>
        <sz val="13"/>
        <color theme="1"/>
        <rFont val="Times New Roman"/>
        <family val="1"/>
      </rPr>
      <t>080</t>
    </r>
  </si>
  <si>
    <r>
      <t xml:space="preserve"> Bordereau N°: </t>
    </r>
    <r>
      <rPr>
        <b/>
        <sz val="13"/>
        <color theme="1"/>
        <rFont val="Times New Roman"/>
        <family val="1"/>
      </rPr>
      <t>036</t>
    </r>
  </si>
  <si>
    <t>Du 14 au 19/12/ 2015</t>
  </si>
  <si>
    <t>163</t>
  </si>
  <si>
    <t>Du 01 au 31/05/2017</t>
  </si>
  <si>
    <t>Du 14 au 20/12/ 2015</t>
  </si>
  <si>
    <t>Du 11 au 26/06/2017</t>
  </si>
  <si>
    <t>Du 11 au 20/04/2017</t>
  </si>
  <si>
    <t>Du 15 au 19/12/ 2015</t>
  </si>
  <si>
    <t>Du 01 au 10/04/2017</t>
  </si>
  <si>
    <t>Du 21 au 30/04/2017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</si>
  <si>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Un million cent quatre-vingt-dix mille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</si>
  <si>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Un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million trois cent vingt-six 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</si>
  <si>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081</t>
    </r>
  </si>
  <si>
    <r>
      <t xml:space="preserve"> Bordereau N°: </t>
    </r>
    <r>
      <rPr>
        <b/>
        <sz val="13"/>
        <color theme="1"/>
        <rFont val="Times New Roman"/>
        <family val="1"/>
      </rPr>
      <t>037</t>
    </r>
  </si>
  <si>
    <t>Du 29 au 06/12/ 2015</t>
  </si>
  <si>
    <t>168</t>
  </si>
  <si>
    <t>Du 03 au 31/05/2017</t>
  </si>
  <si>
    <t>Du 02 au 07/12/ 2015</t>
  </si>
  <si>
    <t>Du 14 au 30/04/2017</t>
  </si>
  <si>
    <t>Du 16 au 21/12/ 2015</t>
  </si>
  <si>
    <t>Du 02 au 30/06/2017</t>
  </si>
  <si>
    <t>Du 22 au 22/12/ 2015</t>
  </si>
  <si>
    <t>Du 13 au 29/11/2017</t>
  </si>
  <si>
    <t>Du 15 au 18/12/ 2015</t>
  </si>
  <si>
    <t>Du 13 au 30/11/2017</t>
  </si>
  <si>
    <t>Du 20 au 24/12/ 2015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</si>
  <si>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Neuf cent quatre-vingt mille  francs.CFA</t>
    </r>
  </si>
  <si>
    <r>
      <t>Liquidé le présent bordereau à la somme de :</t>
    </r>
    <r>
      <rPr>
        <b/>
        <sz val="11"/>
        <color theme="1"/>
        <rFont val="Times New Roman"/>
        <family val="1"/>
      </rPr>
      <t>Deux cent soixante-dix</t>
    </r>
    <r>
      <rPr>
        <b/>
        <i/>
        <sz val="11"/>
        <color theme="1"/>
        <rFont val="Times New Roman"/>
        <family val="1"/>
      </rPr>
      <t xml:space="preserve">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</si>
  <si>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38</t>
    </r>
  </si>
  <si>
    <r>
      <t xml:space="preserve"> Bordereau N°: </t>
    </r>
    <r>
      <rPr>
        <b/>
        <sz val="13"/>
        <color theme="1"/>
        <rFont val="Times New Roman"/>
        <family val="1"/>
      </rPr>
      <t>082</t>
    </r>
  </si>
  <si>
    <t>BORDEREAU D'EMISSION DES BANDES D'ENREGISTREMENTS</t>
  </si>
  <si>
    <t>173</t>
  </si>
  <si>
    <t>Du 02 au 31/01/2017</t>
  </si>
  <si>
    <t>Du 18 au 29/12/ 2015</t>
  </si>
  <si>
    <t>Du 04 au 29/03/2016</t>
  </si>
  <si>
    <t>Du 23 au 28/12/ 2015</t>
  </si>
  <si>
    <t>Du 15 au 21/04/2016</t>
  </si>
  <si>
    <t>Du 24 au 28/12/ 2015</t>
  </si>
  <si>
    <t>Du 24 au 27/12/ 2015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</si>
  <si>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 cent cinquante-sept mille 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</si>
  <si>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Deux cent quatre-vingt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</si>
  <si>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39</t>
    </r>
  </si>
  <si>
    <r>
      <t xml:space="preserve"> Bordereau N°: </t>
    </r>
    <r>
      <rPr>
        <b/>
        <sz val="13"/>
        <color theme="1"/>
        <rFont val="Times New Roman"/>
        <family val="1"/>
      </rPr>
      <t>083</t>
    </r>
  </si>
  <si>
    <t xml:space="preserve">BORDEREAU D'EMISSION DE FACTURES D'AVOIR </t>
  </si>
  <si>
    <t>127</t>
  </si>
  <si>
    <t>Du 21 au 28/12/ 2015</t>
  </si>
  <si>
    <t>129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</si>
  <si>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Deux millions cinq cent vingt-deux  mille  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</si>
  <si>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Un million deux cent quarante six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</si>
  <si>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040</t>
    </r>
  </si>
  <si>
    <r>
      <t xml:space="preserve"> Bordereau N°: </t>
    </r>
    <r>
      <rPr>
        <b/>
        <sz val="13"/>
        <color theme="1"/>
        <rFont val="Times New Roman"/>
        <family val="1"/>
      </rPr>
      <t>085</t>
    </r>
  </si>
  <si>
    <t>EXERCICE: 2016</t>
  </si>
  <si>
    <t>Du 29 au 31/12/2015</t>
  </si>
  <si>
    <t>128</t>
  </si>
  <si>
    <t>Du 01 au 10/06/2017</t>
  </si>
  <si>
    <t>130</t>
  </si>
  <si>
    <t>Du 21 au 30/06/2017</t>
  </si>
  <si>
    <r>
      <t xml:space="preserve">Liquidé le présent bordereau à la somme de :Deux </t>
    </r>
    <r>
      <rPr>
        <b/>
        <i/>
        <sz val="11"/>
        <color theme="1"/>
        <rFont val="Times New Roman"/>
        <family val="1"/>
      </rPr>
      <t xml:space="preserve"> millions cinq  cent quatre-vingt-quatre mille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</si>
  <si>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Cinq cent dix huit mille francs.CFA</t>
    </r>
  </si>
  <si>
    <t xml:space="preserve"> Bordereau N°: 41</t>
  </si>
  <si>
    <t>176</t>
  </si>
  <si>
    <t>Du 25/10 au 21/11/2017</t>
  </si>
  <si>
    <t>Du 29/09 au 25/10/2017</t>
  </si>
  <si>
    <t>Du 27/10 au 28/11/2017</t>
  </si>
  <si>
    <t>Du 16/05 au 28/06/2017</t>
  </si>
  <si>
    <t>Du 01 au 11/12/2017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</si>
  <si>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Deux millions neuf  cent vingt  mille  francs.CFA</t>
    </r>
  </si>
  <si>
    <t xml:space="preserve"> Bordereau N°: 42</t>
  </si>
  <si>
    <t>Du 13 au 31/12/2017</t>
  </si>
  <si>
    <t>Du 01 au 31/12/2017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</si>
  <si>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Cinq millions cinquante mille   francs.CFA</t>
    </r>
  </si>
  <si>
    <t xml:space="preserve"> Bordereau N°: 43</t>
  </si>
  <si>
    <t>Du 15 au22/05/2016</t>
  </si>
  <si>
    <t>Du 13 au23/05/2016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</si>
  <si>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Cent soixante-dix mille   francs.CFA</t>
    </r>
  </si>
  <si>
    <t xml:space="preserve"> Bordereau N°: 44</t>
  </si>
  <si>
    <t>Du 01 au 07/05/2016</t>
  </si>
  <si>
    <t>Du 04 au 11/05/2016</t>
  </si>
  <si>
    <t>Du 01 au 06/05/2016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</si>
  <si>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Deux cent soixante  mille   francs.CFA</t>
    </r>
  </si>
  <si>
    <t xml:space="preserve"> Bordereau N°: 45</t>
  </si>
  <si>
    <t>Du 09 au 12/05/2016</t>
  </si>
  <si>
    <t>Du 09 au 15/05/2016</t>
  </si>
  <si>
    <t>Du 10 au 14/05/2016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</si>
  <si>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Huit cent soixante-huit mille   francs.CFA</t>
    </r>
  </si>
  <si>
    <t xml:space="preserve"> Bordereau N°: 46</t>
  </si>
  <si>
    <t>Du 18 au 19/05/2016</t>
  </si>
  <si>
    <t>Du 16 au 22/05/2016</t>
  </si>
  <si>
    <t>Du 17 au 21/05/2016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</si>
  <si>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Huit cent cinquante-quatre mille   francs.CFA</t>
    </r>
  </si>
  <si>
    <t xml:space="preserve"> Bordereau N°:</t>
  </si>
  <si>
    <t>BORDEREAU D'EMISSION D'AVOIRS SUR CONVENTIONS DOMANIALES</t>
  </si>
  <si>
    <t>N° AVOIR</t>
  </si>
  <si>
    <t>Du 01/01 au 31/12/2016</t>
  </si>
  <si>
    <t>OMB CONSULTING</t>
  </si>
  <si>
    <t>BAZAR CAFE</t>
  </si>
  <si>
    <t>SGEI</t>
  </si>
  <si>
    <t>SAGA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</si>
  <si>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Vingt-huit millions cinq cent quatre-vingt-deux  mille neuf cent trente-sept francs.CFA</t>
    </r>
  </si>
  <si>
    <t xml:space="preserve"> Bordereau N°: 47</t>
  </si>
  <si>
    <t>Du 04 au 05/05/2016</t>
  </si>
  <si>
    <t>Du 01 au 08/05/2016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</si>
  <si>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cinquante mille   francs.CFA</t>
    </r>
  </si>
  <si>
    <t xml:space="preserve"> Bordereau N°: 48</t>
  </si>
  <si>
    <t>BORDEREAU D'EMISSION SUR LE PROTOCOLE DE REMBOURSEMENT TVA</t>
  </si>
  <si>
    <t>MICRONUIM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</si>
  <si>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millions neuf cent quarante-un mille cinq cent soixante-dix-huit francs.CFA</t>
    </r>
  </si>
  <si>
    <t xml:space="preserve"> Bordereau N°: 49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</si>
  <si>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Sept cent soixante-six mille deux cent quarante francs.CFA</t>
    </r>
  </si>
  <si>
    <t xml:space="preserve"> Bordereau N°: 50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</si>
  <si>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Vingt-sept millions huit cent seize mille six cent quatre-vingt-dix-sept francs.CFA</t>
    </r>
  </si>
  <si>
    <t xml:space="preserve"> Bordereau N°: 51</t>
  </si>
  <si>
    <t>Du 23 au 31/05/2016</t>
  </si>
  <si>
    <t>Du 25 au 30/05/2016</t>
  </si>
  <si>
    <t>Du 02 au 06/06/2016</t>
  </si>
  <si>
    <t>Du 04 au 09/06/2016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</si>
  <si>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:Quatre cent dix mille   francs.CFA</t>
    </r>
  </si>
  <si>
    <t xml:space="preserve"> Bordereau N°: 52</t>
  </si>
  <si>
    <t>Du 10 au 14/06/2016</t>
  </si>
  <si>
    <t>Du 01 au 08/06/2016</t>
  </si>
  <si>
    <t>Du 10 au 15/06/2016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</si>
  <si>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:Cent-cinquante mille   francs.CFA</t>
    </r>
  </si>
  <si>
    <t xml:space="preserve"> Bordereau N°: 53</t>
  </si>
  <si>
    <t>Du 15 au 26/06/2016</t>
  </si>
  <si>
    <t>Du 17 au 26/06/2016</t>
  </si>
  <si>
    <t>Du 14 au 18/06/2016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</si>
  <si>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:Trois cent mille   francs.CFA</t>
    </r>
  </si>
  <si>
    <t xml:space="preserve"> Bordereau N°: 54</t>
  </si>
  <si>
    <t>TROPICAL AIR</t>
  </si>
  <si>
    <t>Du 25 au 26/05/2016</t>
  </si>
  <si>
    <t>Du 24 au 31/05/2016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</si>
  <si>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soixante-dix-huit  mille  francs.CFA</t>
    </r>
  </si>
  <si>
    <t xml:space="preserve"> Bordereau N°: 55</t>
  </si>
  <si>
    <t>Du 01 au 23/06/2016</t>
  </si>
  <si>
    <t>Du 01 au 27/06/2016</t>
  </si>
  <si>
    <t>Du 02 au 25/06/2016</t>
  </si>
  <si>
    <t>Du 02 au 27/06/2016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</si>
  <si>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:Trois millions trois cent quatre mille   francs.CFA</t>
    </r>
  </si>
  <si>
    <t xml:space="preserve"> Bordereau N°: 56</t>
  </si>
  <si>
    <t>BORDEREAU D'EMISSION D'APPELS D'OFFRES</t>
  </si>
  <si>
    <t>AYOBA CATERIN</t>
  </si>
  <si>
    <t>Du 01/07 au 31/12/2016</t>
  </si>
  <si>
    <t>SODEXO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</si>
  <si>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 mille   francs.CFA</t>
    </r>
  </si>
  <si>
    <t xml:space="preserve"> Bordereau N°: 57</t>
  </si>
  <si>
    <t>AFRIC-AVIATION</t>
  </si>
  <si>
    <t>Du 10 au 10/06/2016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</si>
  <si>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:Soixante  mille   francs.CFA</t>
    </r>
  </si>
  <si>
    <t xml:space="preserve"> Bordereau N°: 58</t>
  </si>
  <si>
    <t>Du 01/07 au 08/07/2016</t>
  </si>
  <si>
    <t>Du 29 /06/2016</t>
  </si>
  <si>
    <t>Du 08/07 au 17/07/2016</t>
  </si>
  <si>
    <t>Du 01/07 au 11/07/2016</t>
  </si>
  <si>
    <t>Du 13/07 au 18/07/2016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</si>
  <si>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six cent neuf mille neuf cent  francs.CFA</t>
    </r>
  </si>
  <si>
    <t xml:space="preserve"> Bordereau N°: 59</t>
  </si>
  <si>
    <t>Du 18/07 au 29/07/2016</t>
  </si>
  <si>
    <t>Du 20 au 31/07/2016</t>
  </si>
  <si>
    <t>Du 24 au 31/07/2016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</si>
  <si>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:Quatre cent quarante mille  francs.CFA</t>
    </r>
  </si>
  <si>
    <r>
      <t xml:space="preserve">     </t>
    </r>
    <r>
      <rPr>
        <b/>
        <u/>
        <sz val="12"/>
        <color theme="1"/>
        <rFont val="Times New Roman"/>
        <family val="1"/>
      </rPr>
      <t>Jean François MOULOMBI</t>
    </r>
  </si>
  <si>
    <t xml:space="preserve"> Bordereau N°: 60</t>
  </si>
  <si>
    <t>Du 01 au 10/08/2016</t>
  </si>
  <si>
    <t>Du 11 au 28/08/2016</t>
  </si>
  <si>
    <t>Du 12 au 22/08/2016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</si>
  <si>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Huit cent quatre-vingt mille  francs.CFA</t>
    </r>
  </si>
  <si>
    <t xml:space="preserve"> Bordereau N°: 61</t>
  </si>
  <si>
    <t>Du 29/06 au 17/07/2016</t>
  </si>
  <si>
    <t>Du 28/06 au 17/07/2016</t>
  </si>
  <si>
    <t>Du 28/06 au 16/07/2016</t>
  </si>
  <si>
    <t>Du 20 au 29/07/2016</t>
  </si>
  <si>
    <t>Du 18 au 31/07/2016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</si>
  <si>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sept cent vingt-deux mille  francs.CFA</t>
    </r>
  </si>
  <si>
    <t xml:space="preserve"> Bordereau N°: 62</t>
  </si>
  <si>
    <t>Du 03 au 04/08/2016</t>
  </si>
  <si>
    <t>Du 01 au 07/08/2016</t>
  </si>
  <si>
    <t>Du 19 au 30/07/2016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</si>
  <si>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:Quatre cent soixante-seize  mille  francs.CFA</t>
    </r>
  </si>
  <si>
    <t xml:space="preserve"> Bordereau N°: 63</t>
  </si>
  <si>
    <t>BORDEREAU D'EMISSION DE PRODUITS DIVERS</t>
  </si>
  <si>
    <t>TOUKOULA-BTP</t>
  </si>
  <si>
    <t>Au  09/09/2016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</si>
  <si>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millions  francs.CFA</t>
    </r>
  </si>
  <si>
    <t xml:space="preserve"> Bordereau N°: 64</t>
  </si>
  <si>
    <t>Du 28 au 31/08/2016</t>
  </si>
  <si>
    <t>Du 24 au 31/08/2016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</si>
  <si>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:Cent dix mille  francs.CFA</t>
    </r>
  </si>
  <si>
    <t xml:space="preserve"> Bordereau N°: 65</t>
  </si>
  <si>
    <t>Du 01 au 11/09/2016</t>
  </si>
  <si>
    <t>Du 06 au 23/08/2016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</si>
  <si>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soixante mille  francs.CFA</t>
    </r>
  </si>
  <si>
    <t xml:space="preserve"> Bordereau N°: 66</t>
  </si>
  <si>
    <t>BORDEREAU D'EMISSION DES PROLONGATIONS D'OUVERTURE</t>
  </si>
  <si>
    <t>Du 11 au 12/01/2016</t>
  </si>
  <si>
    <t>TCHIBANGA</t>
  </si>
  <si>
    <t>Du 01 au 29/02/2016</t>
  </si>
  <si>
    <t>Du 31/03/2016</t>
  </si>
  <si>
    <t>Du 02 au 30/05/2016</t>
  </si>
  <si>
    <t>Du 04 au 24/08/2016</t>
  </si>
  <si>
    <t>Du 12 au 26/07/2016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</si>
  <si>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:Sept cent quatre-vingt-dix-sept mille cinq cent  francs.CFA</t>
    </r>
  </si>
  <si>
    <t>719-2</t>
  </si>
  <si>
    <t>TOTAL</t>
  </si>
  <si>
    <t xml:space="preserve"> Bordereau N°: 67</t>
  </si>
  <si>
    <t>BORDEREAU D'EMISSION DES PRODUITS DIVERS</t>
  </si>
  <si>
    <t>TOTAL GABON</t>
  </si>
  <si>
    <t>Du 20/07 au 19/08/2016</t>
  </si>
  <si>
    <t>Du 20/05 au 19/06/2016</t>
  </si>
  <si>
    <t>Du 20/06 au 19/07/2016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</si>
  <si>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:Six millions  cent dix-neuf mille soixante-quinze francs.CFA</t>
    </r>
  </si>
  <si>
    <t xml:space="preserve"> Bordereau N°: 68</t>
  </si>
  <si>
    <t xml:space="preserve">BORDEREAU D'EMISSION DES BANDES D'ENREGISTREMENT </t>
  </si>
  <si>
    <t>Du 12 au 21/09/2016</t>
  </si>
  <si>
    <t>Du 07 au 11/09/2016</t>
  </si>
  <si>
    <t>AFIJET</t>
  </si>
  <si>
    <t>Du 09 au 21/09/2016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</si>
  <si>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cinquante mille  francs.CFA</t>
    </r>
  </si>
  <si>
    <t xml:space="preserve"> Bordereau N°: 69</t>
  </si>
  <si>
    <t>Du 22 au 30/09/2016</t>
  </si>
  <si>
    <t>Du 23 au 30/09/2016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</si>
  <si>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mille  francs.CFA</t>
    </r>
  </si>
  <si>
    <t>L'ORDONNATEUR SECONDAIRE PI</t>
  </si>
  <si>
    <t>Calvin ABOUROU ALLOGO</t>
  </si>
  <si>
    <t xml:space="preserve"> Bordereau N°: 70</t>
  </si>
  <si>
    <t xml:space="preserve">AFRIC AVIATION </t>
  </si>
  <si>
    <t>Du 08 au 28/06/2016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</si>
  <si>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:Quatre millions neuf cent trente-six mille  francs.CFA</t>
    </r>
  </si>
  <si>
    <t xml:space="preserve"> Bordereau N°: 71</t>
  </si>
  <si>
    <t>Du 10 au 11/08/2016</t>
  </si>
  <si>
    <t>Du 17 au 31/08/2016</t>
  </si>
  <si>
    <t>Du 07 au 17/09/2016</t>
  </si>
  <si>
    <t>Du 21 au 22/09/2016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</si>
  <si>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:Trois cent seize mille   francs.CFA</t>
    </r>
  </si>
  <si>
    <t xml:space="preserve"> Bordereau N°: 72</t>
  </si>
  <si>
    <t>Du 08 au 14/08/2016</t>
  </si>
  <si>
    <t>Du 15 au 30/08/2016</t>
  </si>
  <si>
    <t>Du 04 au 18/09/2016</t>
  </si>
  <si>
    <t>Du 19 au 25/09/2016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</si>
  <si>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:Neuf cent quatre-vingt-quatre mille francs.CFA</t>
    </r>
  </si>
  <si>
    <t xml:space="preserve"> Bordereau N°: 73</t>
  </si>
  <si>
    <t>EQUAFLIGTH</t>
  </si>
  <si>
    <t>Du 09 au 13/08/2016</t>
  </si>
  <si>
    <t>Du 16 au 23/08/2016</t>
  </si>
  <si>
    <t>Du 08 au 20/09/2016</t>
  </si>
  <si>
    <t>Du 12 au 31/08/2016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</si>
  <si>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cinq cent deux mille francs.CFA</t>
    </r>
  </si>
  <si>
    <t xml:space="preserve"> Bordereau N°: 74</t>
  </si>
  <si>
    <t>Du 03 au 10/09/2016</t>
  </si>
  <si>
    <t>Du 02 au 12/10/2016</t>
  </si>
  <si>
    <t>Du 02 au 10/10/2016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</si>
  <si>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:Trois cent quatre-vingt mille francs.CFA</t>
    </r>
  </si>
  <si>
    <t xml:space="preserve"> Bordereau N°: 75</t>
  </si>
  <si>
    <t xml:space="preserve">BORDEREAU D'EMISSION DES FACTURES SUR LES SERVICES RENDUS </t>
  </si>
  <si>
    <t>Du 01/04 au 31/12/2016</t>
  </si>
  <si>
    <t>ASC</t>
  </si>
  <si>
    <t>COMPAGNIE CONCORDE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</si>
  <si>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millions huit cent quarante mille  francs.CFA</t>
    </r>
  </si>
  <si>
    <t xml:space="preserve"> Bordereau N°: 76</t>
  </si>
  <si>
    <t>SKY GABON</t>
  </si>
  <si>
    <t>CONTRACTUELS DOUANES</t>
  </si>
  <si>
    <t>SAGA GABON</t>
  </si>
  <si>
    <t>AERO CLUB</t>
  </si>
  <si>
    <t>POOL PETROLIER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</si>
  <si>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Sept cent quarantemille  francs.CFA</t>
    </r>
  </si>
  <si>
    <t xml:space="preserve"> Bordereau N°: 77</t>
  </si>
  <si>
    <t>BORDEREAU D'EMISSION SUR LES PRODUITS DIVERS</t>
  </si>
  <si>
    <t>Du 20/08 au 19/09/2016</t>
  </si>
  <si>
    <t>Du 27/04 au 25/07/2016</t>
  </si>
  <si>
    <t>Du 25/07 au 25/08/2016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</si>
  <si>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Soixante-douze millions deux cent vingt-huit mille  quatre cent douze  francs.CFA</t>
    </r>
  </si>
  <si>
    <t xml:space="preserve"> Bordereau N°: 78</t>
  </si>
  <si>
    <t>Du 12 au 19/10/2016</t>
  </si>
  <si>
    <t>Du 14 au 19/10/2016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</si>
  <si>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:Cent cinquante mille francs.CFA</t>
    </r>
  </si>
  <si>
    <t xml:space="preserve"> Bordereau N°: 79</t>
  </si>
  <si>
    <t>Du 25/09 au 15/10/2016</t>
  </si>
  <si>
    <t>Du 26/09 au 16/10/2016</t>
  </si>
  <si>
    <t>Du 27/09 au 15/10/2016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</si>
  <si>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huit cent quatre-vingt-dix-huit mille francs.CFA</t>
    </r>
  </si>
  <si>
    <t xml:space="preserve"> Bordereau N°: 80</t>
  </si>
  <si>
    <t>Du 19 au 27/10/2016</t>
  </si>
  <si>
    <t>Du 17 au 31/10/2016</t>
  </si>
  <si>
    <t>Du 18 au 27/10/2016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</si>
  <si>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six cent cinquante-un mille francs.CFA</t>
    </r>
  </si>
  <si>
    <t xml:space="preserve"> Bordereau N°: 81</t>
  </si>
  <si>
    <t>Du 21/10  au 1/11/2016</t>
  </si>
  <si>
    <t>Du 21 au 31/10/2016</t>
  </si>
  <si>
    <t>Du 21/10 au 06/11/2016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</si>
  <si>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soixante mille francs.CFA</t>
    </r>
  </si>
  <si>
    <t xml:space="preserve"> Bordereau N°: 82</t>
  </si>
  <si>
    <t>Du 02 au 09/11/2016</t>
  </si>
  <si>
    <t>Du 07 au 09/11/2016</t>
  </si>
  <si>
    <t>BECC</t>
  </si>
  <si>
    <t>Du 01 au 30/11/2016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</si>
  <si>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quatre cent quatre-vingt  mille francs.CFA</t>
    </r>
  </si>
  <si>
    <t xml:space="preserve"> Bordereau N°: 83</t>
  </si>
  <si>
    <t xml:space="preserve">BORDEREAU D'EMISSION DES BANDES D'ENREGISTREMENTS </t>
  </si>
  <si>
    <t>Du 11 au 20/11/2016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</si>
  <si>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cinquante  mille francs.CFA</t>
    </r>
  </si>
  <si>
    <t xml:space="preserve"> Bordereau N°: 84</t>
  </si>
  <si>
    <t>BORDEREAU D'EMISSION DES BANDES D'ENREGISTREMENTS ET CONVENTION DOMANIALE</t>
  </si>
  <si>
    <t>Du 01 au 10/11/2016</t>
  </si>
  <si>
    <t>Du 01 au 13/11/2016</t>
  </si>
  <si>
    <t>Du 01 au 12/11/2016</t>
  </si>
  <si>
    <t>Du 01 au 11/11/2016</t>
  </si>
  <si>
    <t>IBISE MEDIACOM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</si>
  <si>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Sept millions quatre cent soixante-quinze mille francs.CFA</t>
    </r>
  </si>
  <si>
    <t xml:space="preserve"> Bordereau N°: 85</t>
  </si>
  <si>
    <t>BORDEREAU D'EMISSION DES BANDES D'ENREGISTREMENTS, CONVENTION DOMANIALE ET PRODUITS DIVERS</t>
  </si>
  <si>
    <t>Du 21 au 30/11/2016</t>
  </si>
  <si>
    <t>Du 23/04 au 31/12/2016</t>
  </si>
  <si>
    <t>Du 20/09 au 19/11/2016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</si>
  <si>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:Soixante-seize millions quatre cent trente mille huit cent vingt-sept francs.CFA</t>
    </r>
  </si>
  <si>
    <t xml:space="preserve"> Bordereau N°: 86</t>
  </si>
  <si>
    <t>Du 01 au 10/12/2016</t>
  </si>
  <si>
    <t>Du 02 au 11/12/2016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</si>
  <si>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Trois cent soixante mille  francs.CFA</t>
    </r>
  </si>
  <si>
    <t xml:space="preserve"> Bordereau N°: 87</t>
  </si>
  <si>
    <t>Du 11 au 20/12/2016</t>
  </si>
  <si>
    <t>Du 12 au 19/12/2016</t>
  </si>
  <si>
    <t>Du 12 au 20/12/2016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</si>
  <si>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Trois cent trente mille  francs.CFA</t>
    </r>
  </si>
  <si>
    <t xml:space="preserve"> Bordereau N°: 88</t>
  </si>
  <si>
    <t>BORDEREAU D'EMISSION DES BANQUES D'ENREGISTREMENT ET  REMBOURSEMENTS DE TVA</t>
  </si>
  <si>
    <t>DIRECTION GENERALE DES IMPOTS</t>
  </si>
  <si>
    <t>Du 01 au 30/11/2015</t>
  </si>
  <si>
    <t>Du 01 au 28/02/2016</t>
  </si>
  <si>
    <t>Du 21 au 25/12/2016</t>
  </si>
  <si>
    <t>Du 25 au 27/12/2016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</si>
  <si>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Dix- huit millions huit cent trente mille deux cent soixante-neuf mille  francs.CFA</t>
    </r>
  </si>
  <si>
    <t xml:space="preserve"> Bordereau N°: 89</t>
  </si>
  <si>
    <t>BORDEREAU D'EMISSION D'AVOIRS SUR LES CONVENTIONS DOMANIALES</t>
  </si>
  <si>
    <t xml:space="preserve">GABON PROPRE SERVICE </t>
  </si>
  <si>
    <t>C.G.E.P</t>
  </si>
  <si>
    <t>KEVIN SERVICES</t>
  </si>
  <si>
    <t>BROSETTE NETTOYAGE</t>
  </si>
  <si>
    <t>TOTAL PREVENTION SERVICE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</si>
  <si>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:Six cent  mille  francs.CFA</t>
    </r>
  </si>
  <si>
    <t xml:space="preserve"> Bordereau N°: 90</t>
  </si>
  <si>
    <t>PECOLA BAR</t>
  </si>
  <si>
    <t>Du 27 au 30/12/2015</t>
  </si>
  <si>
    <t>DONA GLOBAL TOUR</t>
  </si>
  <si>
    <t>Du 21 au 30/12/2015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</si>
  <si>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:Cinq  cent  soixante-cinq mille trois cent trent  francs.CFA</t>
    </r>
  </si>
  <si>
    <t xml:space="preserve"> Bordereau N°: 91</t>
  </si>
  <si>
    <t>361</t>
  </si>
  <si>
    <t>362</t>
  </si>
  <si>
    <t>363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</si>
  <si>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quarante francs.CFA</t>
    </r>
  </si>
  <si>
    <t xml:space="preserve"> Bordereau N°: 92</t>
  </si>
  <si>
    <t>BORDEREAU D'EMISSION DES AVIS DE REMBOURSEMENT DE TVA</t>
  </si>
  <si>
    <t>364</t>
  </si>
  <si>
    <t>365</t>
  </si>
  <si>
    <t>Du 01 au 30/01/2015</t>
  </si>
  <si>
    <t>366</t>
  </si>
  <si>
    <t>Du 01au 28/02/2016</t>
  </si>
  <si>
    <t>367</t>
  </si>
  <si>
    <t>Du 01 au 31/05/2016</t>
  </si>
  <si>
    <t>368</t>
  </si>
  <si>
    <t>Du 01 au 30/06/2016</t>
  </si>
  <si>
    <t>369</t>
  </si>
  <si>
    <t>Du 01 au 31/07/2016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</si>
  <si>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:Trente-un millions neuf cent cinquante-sept mille cent cinquante francs.CFA</t>
    </r>
  </si>
  <si>
    <t xml:space="preserve"> Bordereau N°: 93</t>
  </si>
  <si>
    <t>BORDEREAU D'EMISSION SUR UTILISATION PARKING</t>
  </si>
  <si>
    <t>370</t>
  </si>
  <si>
    <t>CLIENTS DIVERS</t>
  </si>
  <si>
    <t>Du 20/11 au 26/12/2016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</si>
  <si>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huit cent dix-sept mille sept cent francs.CFA</t>
    </r>
  </si>
  <si>
    <t xml:space="preserve">L'ORDONNATEUR SECONDAIRE PI </t>
  </si>
  <si>
    <t xml:space="preserve"> Bordereau N°: 94</t>
  </si>
  <si>
    <t xml:space="preserve">BORDEREAU D'EMISSION D'AVOIRS SUR LES AVIS DE REMBOURSEMENT DE TVA 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</si>
  <si>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:Dix-huit millons six cent quatre-vingt mille deux cent soixante-neuf  francs.CFA</t>
    </r>
  </si>
  <si>
    <t xml:space="preserve"> Bordereau N°: 95</t>
  </si>
  <si>
    <t xml:space="preserve">BORDEREAU D'EMISSION SUR LES AVIS DE REMBOURSEMENT DE TVA </t>
  </si>
  <si>
    <t>371</t>
  </si>
  <si>
    <t>Du 01 au 30/09/2016</t>
  </si>
  <si>
    <t>372</t>
  </si>
  <si>
    <t>Du 01au 31/10/2016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</si>
  <si>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:Cinq millions cinquante-trois mille deux cent quatre-vingt-dix-neuf  francs.CFA</t>
    </r>
  </si>
  <si>
    <t xml:space="preserve"> Bordereau N°: 048</t>
  </si>
  <si>
    <t>EXERCICE: 2018</t>
  </si>
  <si>
    <t xml:space="preserve">BORDEREAU D'EMISSION SUR LES BANQUES D'ENREGISTREMENT </t>
  </si>
  <si>
    <t>180</t>
  </si>
  <si>
    <t>Du 11 au 30/12/2018</t>
  </si>
  <si>
    <r>
      <t xml:space="preserve">Liquidé le présent bordereau à la somme de: </t>
    </r>
    <r>
      <rPr>
        <b/>
        <i/>
        <sz val="11"/>
        <color theme="1"/>
        <rFont val="Times New Roman"/>
        <family val="1"/>
      </rPr>
      <t xml:space="preserve">Six cent quatre-vingt-un </t>
    </r>
    <r>
      <rPr>
        <b/>
        <i/>
        <sz val="11"/>
        <color theme="1"/>
        <rFont val="Times New Roman"/>
        <family val="1"/>
      </rPr>
      <t>mille cinq cent francs.CFA</t>
    </r>
  </si>
  <si>
    <t>Parfait AMALET</t>
  </si>
  <si>
    <r>
      <t xml:space="preserve">Agence pour la Sécurité de la Navigation Aérienne en Afrique et à Madagascar                                      </t>
    </r>
    <r>
      <rPr>
        <b/>
        <sz val="11"/>
        <color theme="0"/>
        <rFont val="Times New Roman"/>
        <family val="1"/>
      </rPr>
      <t xml:space="preserve"> </t>
    </r>
    <r>
      <rPr>
        <sz val="10"/>
        <color theme="0"/>
        <rFont val="Times New Roman"/>
        <family val="1"/>
      </rPr>
      <t>Siège Social : 32-38 Av. Jean Jaurès DAKAR B.P. 3144-Tél +221.33.823.46.54-site web : www.asecna.aero</t>
    </r>
  </si>
  <si>
    <r>
      <t xml:space="preserve">Délégation aux Activités Aéronautiques Nationales du Gabon
</t>
    </r>
    <r>
      <rPr>
        <sz val="10"/>
        <color theme="1"/>
        <rFont val="Times New Roman"/>
        <family val="1"/>
      </rPr>
      <t>BP: 2252 Libreville, Tél.65.04.28.63</t>
    </r>
  </si>
  <si>
    <r>
      <t xml:space="preserve">Numéraire ou virement bancaire: cpte </t>
    </r>
    <r>
      <rPr>
        <b/>
        <sz val="12"/>
        <color theme="1"/>
        <rFont val="Arial Narrow"/>
        <family val="2"/>
      </rPr>
      <t>ASECNA N° 40002 00005 564161893000 93</t>
    </r>
    <r>
      <rPr>
        <sz val="12"/>
        <color theme="1"/>
        <rFont val="Arial Narrow"/>
        <family val="2"/>
      </rPr>
      <t xml:space="preserve">  UGB Libreville</t>
    </r>
  </si>
  <si>
    <r>
      <t xml:space="preserve">            </t>
    </r>
    <r>
      <rPr>
        <b/>
        <u/>
        <sz val="12"/>
        <color theme="1"/>
        <rFont val="Arial Narrow"/>
        <family val="2"/>
      </rPr>
      <t xml:space="preserve"> Brice Thierry Arist SOKI</t>
    </r>
  </si>
  <si>
    <t>Facture N°152</t>
  </si>
  <si>
    <t>Du 11/11 au 28/11/2025</t>
  </si>
  <si>
    <t>0001451-0001491</t>
  </si>
  <si>
    <t>HELI-UNION</t>
  </si>
  <si>
    <t>QUATRE CENT VINGT  MILLE (420 000 )Francs.CFA</t>
  </si>
  <si>
    <t xml:space="preserve">           Nationales du Gabon par intérim</t>
  </si>
  <si>
    <r>
      <t xml:space="preserve">              </t>
    </r>
    <r>
      <rPr>
        <b/>
        <u/>
        <sz val="11"/>
        <color theme="1"/>
        <rFont val="Arial Narrow"/>
        <family val="2"/>
      </rPr>
      <t>Brice Thierry Arist SOKI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</si>
</sst>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F_C_F_A_-;\-* #,##0.00\ _F_C_F_A_-;_-* &quot;-&quot;??\ _F_C_F_A_-;_-@_-"/>
    <numFmt numFmtId="165" formatCode="_-* #,##0\ _€_-;\-* #,##0\ _€_-;_-* &quot;-&quot;??\ _€_-;_-@_-"/>
    <numFmt numFmtId="166" formatCode="000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8"/>
      <color theme="1"/>
      <name val="Poor Richard"/>
      <family val="1"/>
    </font>
    <font>
      <b/>
      <sz val="13"/>
      <color theme="1"/>
      <name val="Arial Narrow"/>
      <family val="2"/>
    </font>
    <font>
      <b/>
      <sz val="11"/>
      <color theme="1"/>
      <name val="Tahoma"/>
      <family val="2"/>
    </font>
    <font>
      <b/>
      <sz val="11"/>
      <color theme="1"/>
      <name val="Segoe UI"/>
      <family val="2"/>
    </font>
    <font>
      <sz val="11"/>
      <color theme="1"/>
      <name val="Arial Narrow"/>
      <family val="2"/>
    </font>
    <font>
      <b/>
      <i/>
      <sz val="13"/>
      <color theme="1"/>
      <name val="Arial Narrow"/>
      <family val="2"/>
    </font>
    <font>
      <b/>
      <sz val="11"/>
      <color theme="1"/>
      <name val="Arial Narrow"/>
      <family val="2"/>
    </font>
    <font>
      <i/>
      <sz val="11"/>
      <color theme="1"/>
      <name val="Arial Narrow"/>
      <family val="2"/>
    </font>
    <font>
      <sz val="11"/>
      <color theme="1"/>
      <name val="Arial"/>
      <family val="2"/>
    </font>
    <font>
      <b/>
      <u/>
      <sz val="11"/>
      <color theme="1"/>
      <name val="Arial Narrow"/>
      <family val="2"/>
    </font>
    <font>
      <sz val="10.5"/>
      <color theme="1"/>
      <name val="Arial Narrow"/>
      <family val="2"/>
    </font>
    <font>
      <b/>
      <i/>
      <sz val="11"/>
      <color theme="1"/>
      <name val="Arial Narrow"/>
      <family val="2"/>
    </font>
    <font>
      <sz val="11"/>
      <color theme="1"/>
      <name val="Calibri"/>
      <family val="2"/>
    </font>
    <font>
      <sz val="9"/>
      <color theme="1"/>
      <name val="Arial Narrow"/>
      <family val="2"/>
    </font>
    <font>
      <sz val="6.5"/>
      <color theme="1"/>
      <name val="Poor Richard"/>
      <family val="1"/>
    </font>
    <font>
      <b/>
      <u/>
      <sz val="14"/>
      <name val="Arial Narrow"/>
      <family val="2"/>
    </font>
    <font>
      <b/>
      <sz val="14"/>
      <name val="Arial Narrow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u/>
      <sz val="7.5"/>
      <color indexed="12"/>
      <name val="Arial"/>
      <family val="2"/>
    </font>
    <font>
      <b/>
      <sz val="12"/>
      <name val="Arial Narrow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.5"/>
      <color theme="1"/>
      <name val="Times New Roman"/>
      <family val="1"/>
    </font>
    <font>
      <b/>
      <i/>
      <sz val="10.5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name val="Times New Roman"/>
      <family val="1"/>
    </font>
    <font>
      <sz val="12"/>
      <name val="Times New Roman"/>
      <family val="1"/>
    </font>
    <font>
      <b/>
      <i/>
      <sz val="10"/>
      <color theme="1"/>
      <name val="Times New Roman"/>
      <family val="1"/>
    </font>
    <font>
      <i/>
      <sz val="11"/>
      <color theme="1"/>
      <name val="Times New Roman"/>
      <family val="1"/>
    </font>
    <font>
      <b/>
      <u/>
      <sz val="13"/>
      <name val="Arial Narrow"/>
      <family val="2"/>
    </font>
    <font>
      <b/>
      <sz val="14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b/>
      <i/>
      <sz val="15"/>
      <color theme="1"/>
      <name val="Times New Roman"/>
      <family val="1"/>
    </font>
    <font>
      <b/>
      <sz val="15"/>
      <color theme="1"/>
      <name val="Arial Narrow"/>
      <family val="2"/>
    </font>
    <font>
      <sz val="15"/>
      <color theme="1"/>
      <name val="Arial Narrow"/>
      <family val="2"/>
    </font>
    <font>
      <b/>
      <u/>
      <sz val="15"/>
      <color theme="1"/>
      <name val="Arial Narrow"/>
      <family val="2"/>
    </font>
    <font>
      <b/>
      <sz val="12.5"/>
      <color rgb="FF000000"/>
      <name val="Times New Roman"/>
      <family val="1"/>
    </font>
    <font>
      <sz val="10"/>
      <color theme="1"/>
      <name val="Arial Narrow"/>
      <family val="2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2"/>
      <color theme="1"/>
      <name val="Arial Narrow"/>
      <family val="2"/>
    </font>
    <font>
      <i/>
      <sz val="12"/>
      <color theme="1"/>
      <name val="Arial Narrow"/>
      <family val="2"/>
    </font>
    <font>
      <b/>
      <i/>
      <sz val="12"/>
      <color theme="1"/>
      <name val="Arial Narrow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</cellStyleXfs>
  <cellXfs count="404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0" fontId="5" fillId="0" borderId="0" xfId="0" applyFont="1"/>
    <xf numFmtId="0" fontId="6" fillId="0" borderId="2" xfId="0" applyFont="1" applyBorder="1"/>
    <xf numFmtId="0" fontId="6" fillId="0" borderId="0" xfId="0" applyFont="1"/>
    <xf numFmtId="0" fontId="6" fillId="0" borderId="3" xfId="0" applyFont="1" applyBorder="1"/>
    <xf numFmtId="0" fontId="8" fillId="0" borderId="0" xfId="0" applyFont="1" applyAlignment="1">
      <alignment horizontal="right"/>
    </xf>
    <xf numFmtId="0" fontId="10" fillId="0" borderId="0" xfId="0" applyFont="1"/>
    <xf numFmtId="0" fontId="6" fillId="0" borderId="6" xfId="0" applyFont="1" applyBorder="1"/>
    <xf numFmtId="0" fontId="6" fillId="0" borderId="1" xfId="0" applyFont="1" applyBorder="1"/>
    <xf numFmtId="0" fontId="6" fillId="0" borderId="7" xfId="0" applyFont="1" applyBorder="1"/>
    <xf numFmtId="0" fontId="8" fillId="0" borderId="0" xfId="0" applyFont="1"/>
    <xf numFmtId="0" fontId="8" fillId="0" borderId="8" xfId="0" applyFont="1" applyBorder="1"/>
    <xf numFmtId="0" fontId="8" fillId="0" borderId="11" xfId="0" applyFont="1" applyBorder="1" applyAlignment="1">
      <alignment horizontal="center" vertical="center"/>
    </xf>
    <xf numFmtId="0" fontId="6" fillId="0" borderId="12" xfId="0" applyFont="1" applyBorder="1"/>
    <xf numFmtId="0" fontId="6" fillId="0" borderId="5" xfId="0" applyFont="1" applyBorder="1"/>
    <xf numFmtId="0" fontId="13" fillId="0" borderId="8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165" fontId="6" fillId="0" borderId="13" xfId="1" applyNumberFormat="1" applyFont="1" applyBorder="1"/>
    <xf numFmtId="165" fontId="6" fillId="0" borderId="14" xfId="1" applyNumberFormat="1" applyFont="1" applyBorder="1"/>
    <xf numFmtId="165" fontId="6" fillId="0" borderId="15" xfId="1" applyNumberFormat="1" applyFont="1" applyBorder="1"/>
    <xf numFmtId="165" fontId="8" fillId="0" borderId="5" xfId="0" applyNumberFormat="1" applyFont="1" applyBorder="1" applyAlignment="1">
      <alignment horizontal="center" vertical="center"/>
    </xf>
    <xf numFmtId="0" fontId="6" fillId="0" borderId="4" xfId="0" applyFont="1" applyBorder="1"/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0" borderId="1" xfId="0" applyFont="1" applyBorder="1"/>
    <xf numFmtId="165" fontId="8" fillId="0" borderId="1" xfId="0" applyNumberFormat="1" applyFont="1" applyBorder="1"/>
    <xf numFmtId="165" fontId="3" fillId="0" borderId="16" xfId="0" applyNumberFormat="1" applyFont="1" applyBorder="1"/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/>
    <xf numFmtId="0" fontId="27" fillId="0" borderId="0" xfId="0" applyFont="1"/>
    <xf numFmtId="0" fontId="19" fillId="0" borderId="0" xfId="0" applyFont="1"/>
    <xf numFmtId="0" fontId="24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/>
    <xf numFmtId="0" fontId="28" fillId="0" borderId="0" xfId="0" applyFont="1" applyAlignment="1">
      <alignment horizontal="left"/>
    </xf>
    <xf numFmtId="0" fontId="21" fillId="0" borderId="0" xfId="0" applyFont="1"/>
    <xf numFmtId="0" fontId="21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7" fillId="2" borderId="20" xfId="0" applyFont="1" applyFill="1" applyBorder="1" applyAlignment="1">
      <alignment horizontal="center" vertical="center"/>
    </xf>
    <xf numFmtId="0" fontId="27" fillId="2" borderId="23" xfId="0" applyFont="1" applyFill="1" applyBorder="1" applyAlignment="1">
      <alignment horizontal="center" vertical="center"/>
    </xf>
    <xf numFmtId="0" fontId="27" fillId="2" borderId="24" xfId="0" applyFont="1" applyFill="1" applyBorder="1" applyAlignment="1">
      <alignment horizontal="center" vertical="center"/>
    </xf>
    <xf numFmtId="0" fontId="19" fillId="0" borderId="25" xfId="0" applyFont="1" applyBorder="1"/>
    <xf numFmtId="165" fontId="19" fillId="0" borderId="25" xfId="1" applyNumberFormat="1" applyFont="1" applyBorder="1" applyAlignment="1">
      <alignment horizontal="center"/>
    </xf>
    <xf numFmtId="0" fontId="19" fillId="0" borderId="26" xfId="0" applyFont="1" applyBorder="1"/>
    <xf numFmtId="165" fontId="19" fillId="0" borderId="26" xfId="1" applyNumberFormat="1" applyFont="1" applyBorder="1" applyAlignment="1">
      <alignment horizontal="center"/>
    </xf>
    <xf numFmtId="0" fontId="19" fillId="0" borderId="18" xfId="0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left" vertical="center"/>
    </xf>
    <xf numFmtId="165" fontId="21" fillId="0" borderId="18" xfId="1" applyNumberFormat="1" applyFont="1" applyBorder="1" applyAlignment="1">
      <alignment horizontal="center" vertical="center"/>
    </xf>
    <xf numFmtId="0" fontId="19" fillId="0" borderId="18" xfId="0" applyFont="1" applyBorder="1"/>
    <xf numFmtId="165" fontId="28" fillId="0" borderId="16" xfId="0" applyNumberFormat="1" applyFont="1" applyBorder="1" applyAlignment="1">
      <alignment horizontal="center" vertical="center"/>
    </xf>
    <xf numFmtId="165" fontId="28" fillId="2" borderId="11" xfId="1" applyNumberFormat="1" applyFont="1" applyFill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/>
    </xf>
    <xf numFmtId="165" fontId="28" fillId="0" borderId="11" xfId="0" applyNumberFormat="1" applyFont="1" applyBorder="1" applyAlignment="1">
      <alignment horizontal="center" vertical="center"/>
    </xf>
    <xf numFmtId="0" fontId="27" fillId="0" borderId="0" xfId="0" applyFont="1" applyAlignment="1">
      <alignment horizontal="right"/>
    </xf>
    <xf numFmtId="165" fontId="19" fillId="0" borderId="0" xfId="0" applyNumberFormat="1" applyFont="1"/>
    <xf numFmtId="20" fontId="19" fillId="0" borderId="0" xfId="0" applyNumberFormat="1" applyFont="1"/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30" xfId="0" applyFont="1" applyBorder="1" applyAlignment="1">
      <alignment horizontal="left" wrapText="1"/>
    </xf>
    <xf numFmtId="0" fontId="31" fillId="0" borderId="31" xfId="0" applyFont="1" applyBorder="1" applyAlignment="1">
      <alignment horizontal="center" vertical="center"/>
    </xf>
    <xf numFmtId="0" fontId="31" fillId="0" borderId="30" xfId="0" applyFont="1" applyBorder="1" applyAlignment="1">
      <alignment horizontal="left" vertical="center" wrapText="1"/>
    </xf>
    <xf numFmtId="0" fontId="19" fillId="0" borderId="32" xfId="0" applyFont="1" applyBorder="1" applyAlignment="1">
      <alignment horizontal="center"/>
    </xf>
    <xf numFmtId="165" fontId="19" fillId="0" borderId="33" xfId="0" applyNumberFormat="1" applyFont="1" applyBorder="1" applyAlignment="1">
      <alignment horizontal="center" vertical="center"/>
    </xf>
    <xf numFmtId="165" fontId="19" fillId="0" borderId="33" xfId="1" applyNumberFormat="1" applyFont="1" applyBorder="1" applyAlignment="1">
      <alignment horizontal="center"/>
    </xf>
    <xf numFmtId="165" fontId="19" fillId="0" borderId="34" xfId="0" applyNumberFormat="1" applyFont="1" applyBorder="1"/>
    <xf numFmtId="165" fontId="27" fillId="0" borderId="34" xfId="0" applyNumberFormat="1" applyFont="1" applyBorder="1"/>
    <xf numFmtId="0" fontId="19" fillId="0" borderId="35" xfId="0" applyFont="1" applyBorder="1" applyAlignment="1">
      <alignment horizontal="center"/>
    </xf>
    <xf numFmtId="165" fontId="19" fillId="0" borderId="36" xfId="0" applyNumberFormat="1" applyFont="1" applyBorder="1" applyAlignment="1">
      <alignment horizontal="center"/>
    </xf>
    <xf numFmtId="165" fontId="19" fillId="0" borderId="36" xfId="1" applyNumberFormat="1" applyFont="1" applyBorder="1" applyAlignment="1">
      <alignment horizontal="center"/>
    </xf>
    <xf numFmtId="0" fontId="33" fillId="0" borderId="0" xfId="0" applyFont="1" applyAlignment="1">
      <alignment horizontal="left" indent="2"/>
    </xf>
    <xf numFmtId="0" fontId="19" fillId="0" borderId="0" xfId="0" applyFont="1" applyAlignment="1">
      <alignment horizontal="left" indent="2"/>
    </xf>
    <xf numFmtId="0" fontId="19" fillId="0" borderId="37" xfId="0" applyFont="1" applyBorder="1" applyAlignment="1">
      <alignment horizontal="center"/>
    </xf>
    <xf numFmtId="165" fontId="19" fillId="0" borderId="38" xfId="0" applyNumberFormat="1" applyFont="1" applyBorder="1" applyAlignment="1">
      <alignment horizontal="center"/>
    </xf>
    <xf numFmtId="165" fontId="19" fillId="0" borderId="38" xfId="1" applyNumberFormat="1" applyFont="1" applyBorder="1" applyAlignment="1">
      <alignment horizontal="center"/>
    </xf>
    <xf numFmtId="165" fontId="19" fillId="0" borderId="39" xfId="0" applyNumberFormat="1" applyFont="1" applyBorder="1"/>
    <xf numFmtId="165" fontId="27" fillId="0" borderId="39" xfId="0" applyNumberFormat="1" applyFont="1" applyBorder="1"/>
    <xf numFmtId="0" fontId="19" fillId="0" borderId="29" xfId="0" applyFont="1" applyBorder="1" applyAlignment="1">
      <alignment horizontal="center"/>
    </xf>
    <xf numFmtId="165" fontId="27" fillId="0" borderId="30" xfId="0" applyNumberFormat="1" applyFont="1" applyBorder="1" applyAlignment="1">
      <alignment horizontal="center"/>
    </xf>
    <xf numFmtId="165" fontId="27" fillId="0" borderId="30" xfId="0" applyNumberFormat="1" applyFont="1" applyBorder="1"/>
    <xf numFmtId="165" fontId="28" fillId="0" borderId="31" xfId="0" applyNumberFormat="1" applyFont="1" applyBorder="1"/>
    <xf numFmtId="165" fontId="27" fillId="0" borderId="40" xfId="0" applyNumberFormat="1" applyFont="1" applyBorder="1" applyAlignment="1">
      <alignment horizontal="center"/>
    </xf>
    <xf numFmtId="165" fontId="28" fillId="0" borderId="10" xfId="0" applyNumberFormat="1" applyFont="1" applyBorder="1"/>
    <xf numFmtId="0" fontId="23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left" vertical="center" wrapText="1"/>
    </xf>
    <xf numFmtId="0" fontId="31" fillId="0" borderId="30" xfId="0" applyFont="1" applyBorder="1" applyAlignment="1">
      <alignment horizontal="center" vertical="center" wrapText="1"/>
    </xf>
    <xf numFmtId="0" fontId="36" fillId="0" borderId="25" xfId="0" applyFont="1" applyBorder="1"/>
    <xf numFmtId="165" fontId="36" fillId="0" borderId="25" xfId="1" applyNumberFormat="1" applyFont="1" applyBorder="1" applyAlignment="1">
      <alignment horizontal="center"/>
    </xf>
    <xf numFmtId="0" fontId="36" fillId="0" borderId="26" xfId="0" applyFont="1" applyBorder="1"/>
    <xf numFmtId="165" fontId="36" fillId="0" borderId="26" xfId="1" applyNumberFormat="1" applyFont="1" applyBorder="1" applyAlignment="1">
      <alignment horizontal="center"/>
    </xf>
    <xf numFmtId="0" fontId="19" fillId="0" borderId="18" xfId="0" applyFont="1" applyBorder="1" applyAlignment="1">
      <alignment horizontal="center" vertical="center" wrapText="1"/>
    </xf>
    <xf numFmtId="165" fontId="28" fillId="0" borderId="11" xfId="1" applyNumberFormat="1" applyFont="1" applyFill="1" applyBorder="1" applyAlignment="1">
      <alignment horizontal="center" vertical="center"/>
    </xf>
    <xf numFmtId="0" fontId="35" fillId="0" borderId="0" xfId="0" applyFont="1"/>
    <xf numFmtId="165" fontId="28" fillId="2" borderId="8" xfId="1" applyNumberFormat="1" applyFont="1" applyFill="1" applyBorder="1" applyAlignment="1">
      <alignment horizontal="center" vertical="center"/>
    </xf>
    <xf numFmtId="165" fontId="28" fillId="3" borderId="11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left" indent="2"/>
    </xf>
    <xf numFmtId="49" fontId="24" fillId="0" borderId="0" xfId="0" applyNumberFormat="1" applyFont="1" applyAlignment="1">
      <alignment horizontal="left" vertical="center"/>
    </xf>
    <xf numFmtId="0" fontId="31" fillId="0" borderId="30" xfId="0" applyFont="1" applyBorder="1" applyAlignment="1">
      <alignment horizontal="center" wrapText="1"/>
    </xf>
    <xf numFmtId="49" fontId="24" fillId="0" borderId="0" xfId="0" applyNumberFormat="1" applyFont="1"/>
    <xf numFmtId="165" fontId="19" fillId="0" borderId="26" xfId="1" applyNumberFormat="1" applyFont="1" applyBorder="1" applyAlignment="1">
      <alignment horizontal="center" vertical="center"/>
    </xf>
    <xf numFmtId="165" fontId="19" fillId="0" borderId="25" xfId="1" applyNumberFormat="1" applyFont="1" applyBorder="1" applyAlignment="1">
      <alignment horizontal="center" vertical="center"/>
    </xf>
    <xf numFmtId="0" fontId="19" fillId="0" borderId="25" xfId="0" applyFont="1" applyBorder="1" applyAlignment="1">
      <alignment horizontal="right" vertical="center"/>
    </xf>
    <xf numFmtId="165" fontId="27" fillId="0" borderId="34" xfId="0" applyNumberFormat="1" applyFont="1" applyBorder="1" applyAlignment="1">
      <alignment horizontal="center"/>
    </xf>
    <xf numFmtId="0" fontId="40" fillId="0" borderId="0" xfId="0" applyFont="1" applyAlignment="1">
      <alignment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/>
    </xf>
    <xf numFmtId="165" fontId="27" fillId="0" borderId="0" xfId="0" applyNumberFormat="1" applyFont="1" applyBorder="1" applyAlignment="1">
      <alignment horizontal="center"/>
    </xf>
    <xf numFmtId="165" fontId="27" fillId="0" borderId="0" xfId="0" applyNumberFormat="1" applyFont="1" applyBorder="1"/>
    <xf numFmtId="165" fontId="28" fillId="0" borderId="0" xfId="0" applyNumberFormat="1" applyFont="1" applyBorder="1"/>
    <xf numFmtId="0" fontId="6" fillId="0" borderId="0" xfId="0" applyFont="1" applyAlignment="1">
      <alignment horizontal="center" vertical="center"/>
    </xf>
    <xf numFmtId="0" fontId="19" fillId="0" borderId="26" xfId="0" applyFont="1" applyBorder="1" applyAlignment="1">
      <alignment vertical="center"/>
    </xf>
    <xf numFmtId="0" fontId="23" fillId="0" borderId="0" xfId="0" applyFont="1"/>
    <xf numFmtId="0" fontId="2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1" fontId="23" fillId="0" borderId="0" xfId="0" applyNumberFormat="1" applyFont="1"/>
    <xf numFmtId="0" fontId="22" fillId="0" borderId="0" xfId="0" applyFont="1" applyBorder="1"/>
    <xf numFmtId="0" fontId="42" fillId="0" borderId="0" xfId="0" applyFont="1" applyBorder="1"/>
    <xf numFmtId="0" fontId="27" fillId="2" borderId="41" xfId="0" applyFont="1" applyFill="1" applyBorder="1" applyAlignment="1">
      <alignment horizontal="center" vertical="center"/>
    </xf>
    <xf numFmtId="0" fontId="27" fillId="2" borderId="42" xfId="0" applyFont="1" applyFill="1" applyBorder="1" applyAlignment="1">
      <alignment horizontal="center" vertical="center"/>
    </xf>
    <xf numFmtId="0" fontId="43" fillId="2" borderId="44" xfId="0" applyFont="1" applyFill="1" applyBorder="1" applyAlignment="1">
      <alignment horizontal="center" vertical="center"/>
    </xf>
    <xf numFmtId="0" fontId="43" fillId="2" borderId="45" xfId="0" applyFont="1" applyFill="1" applyBorder="1" applyAlignment="1">
      <alignment horizontal="center" vertical="center"/>
    </xf>
    <xf numFmtId="0" fontId="19" fillId="0" borderId="46" xfId="0" applyFont="1" applyBorder="1"/>
    <xf numFmtId="0" fontId="21" fillId="0" borderId="44" xfId="0" applyFont="1" applyBorder="1"/>
    <xf numFmtId="165" fontId="23" fillId="0" borderId="45" xfId="1" applyNumberFormat="1" applyFont="1" applyBorder="1" applyAlignment="1">
      <alignment horizontal="center"/>
    </xf>
    <xf numFmtId="0" fontId="19" fillId="0" borderId="47" xfId="0" applyFont="1" applyBorder="1"/>
    <xf numFmtId="0" fontId="19" fillId="0" borderId="4" xfId="0" applyFont="1" applyBorder="1"/>
    <xf numFmtId="165" fontId="43" fillId="0" borderId="44" xfId="0" applyNumberFormat="1" applyFont="1" applyBorder="1" applyAlignment="1">
      <alignment horizontal="center" vertical="center"/>
    </xf>
    <xf numFmtId="0" fontId="42" fillId="0" borderId="44" xfId="0" applyFont="1" applyBorder="1"/>
    <xf numFmtId="0" fontId="42" fillId="0" borderId="45" xfId="0" applyFont="1" applyBorder="1"/>
    <xf numFmtId="165" fontId="43" fillId="2" borderId="44" xfId="1" applyNumberFormat="1" applyFont="1" applyFill="1" applyBorder="1" applyAlignment="1">
      <alignment horizontal="center" vertical="center"/>
    </xf>
    <xf numFmtId="0" fontId="43" fillId="0" borderId="44" xfId="0" applyFont="1" applyBorder="1" applyAlignment="1">
      <alignment horizontal="center" vertical="center"/>
    </xf>
    <xf numFmtId="0" fontId="43" fillId="0" borderId="45" xfId="0" applyFont="1" applyBorder="1" applyAlignment="1">
      <alignment horizontal="center"/>
    </xf>
    <xf numFmtId="165" fontId="43" fillId="0" borderId="23" xfId="0" applyNumberFormat="1" applyFont="1" applyBorder="1" applyAlignment="1">
      <alignment horizontal="center" vertical="center"/>
    </xf>
    <xf numFmtId="0" fontId="42" fillId="0" borderId="23" xfId="0" applyFont="1" applyBorder="1"/>
    <xf numFmtId="0" fontId="42" fillId="0" borderId="24" xfId="0" applyFont="1" applyBorder="1"/>
    <xf numFmtId="0" fontId="43" fillId="0" borderId="0" xfId="0" applyFont="1" applyAlignment="1">
      <alignment horizontal="right"/>
    </xf>
    <xf numFmtId="0" fontId="42" fillId="0" borderId="0" xfId="0" applyFont="1"/>
    <xf numFmtId="165" fontId="42" fillId="0" borderId="0" xfId="0" applyNumberFormat="1" applyFont="1"/>
    <xf numFmtId="0" fontId="43" fillId="0" borderId="0" xfId="0" applyFont="1"/>
    <xf numFmtId="20" fontId="42" fillId="0" borderId="0" xfId="0" applyNumberFormat="1" applyFont="1"/>
    <xf numFmtId="0" fontId="44" fillId="0" borderId="29" xfId="0" applyFont="1" applyBorder="1" applyAlignment="1">
      <alignment horizontal="center" vertical="center"/>
    </xf>
    <xf numFmtId="0" fontId="44" fillId="0" borderId="30" xfId="0" applyFont="1" applyBorder="1" applyAlignment="1">
      <alignment horizontal="center" vertical="center"/>
    </xf>
    <xf numFmtId="0" fontId="44" fillId="0" borderId="30" xfId="0" applyFont="1" applyBorder="1" applyAlignment="1">
      <alignment horizontal="left" wrapText="1"/>
    </xf>
    <xf numFmtId="0" fontId="44" fillId="0" borderId="31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21" fillId="0" borderId="32" xfId="0" applyFont="1" applyBorder="1" applyAlignment="1">
      <alignment horizontal="center"/>
    </xf>
    <xf numFmtId="165" fontId="42" fillId="0" borderId="33" xfId="0" applyNumberFormat="1" applyFont="1" applyBorder="1" applyAlignment="1">
      <alignment horizontal="center" vertical="center"/>
    </xf>
    <xf numFmtId="165" fontId="23" fillId="0" borderId="33" xfId="1" applyNumberFormat="1" applyFont="1" applyBorder="1" applyAlignment="1">
      <alignment horizontal="center"/>
    </xf>
    <xf numFmtId="165" fontId="24" fillId="0" borderId="34" xfId="0" applyNumberFormat="1" applyFont="1" applyBorder="1"/>
    <xf numFmtId="0" fontId="21" fillId="0" borderId="35" xfId="0" applyFont="1" applyBorder="1" applyAlignment="1">
      <alignment horizontal="center"/>
    </xf>
    <xf numFmtId="165" fontId="42" fillId="0" borderId="36" xfId="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165" fontId="19" fillId="0" borderId="49" xfId="0" applyNumberFormat="1" applyFont="1" applyBorder="1" applyAlignment="1">
      <alignment horizontal="center"/>
    </xf>
    <xf numFmtId="165" fontId="19" fillId="0" borderId="49" xfId="1" applyNumberFormat="1" applyFont="1" applyBorder="1" applyAlignment="1">
      <alignment horizontal="center"/>
    </xf>
    <xf numFmtId="0" fontId="42" fillId="0" borderId="37" xfId="0" applyFont="1" applyBorder="1" applyAlignment="1">
      <alignment horizontal="center"/>
    </xf>
    <xf numFmtId="165" fontId="42" fillId="0" borderId="50" xfId="0" applyNumberFormat="1" applyFont="1" applyBorder="1" applyAlignment="1">
      <alignment horizontal="center"/>
    </xf>
    <xf numFmtId="165" fontId="42" fillId="0" borderId="50" xfId="1" applyNumberFormat="1" applyFont="1" applyBorder="1" applyAlignment="1">
      <alignment horizontal="center"/>
    </xf>
    <xf numFmtId="165" fontId="43" fillId="0" borderId="5" xfId="0" applyNumberFormat="1" applyFont="1" applyBorder="1"/>
    <xf numFmtId="0" fontId="47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2" fillId="0" borderId="29" xfId="0" applyFont="1" applyBorder="1" applyAlignment="1">
      <alignment horizontal="center"/>
    </xf>
    <xf numFmtId="165" fontId="43" fillId="0" borderId="40" xfId="0" applyNumberFormat="1" applyFont="1" applyBorder="1" applyAlignment="1">
      <alignment horizontal="center"/>
    </xf>
    <xf numFmtId="165" fontId="43" fillId="0" borderId="11" xfId="0" applyNumberFormat="1" applyFont="1" applyBorder="1"/>
    <xf numFmtId="165" fontId="19" fillId="0" borderId="33" xfId="0" applyNumberFormat="1" applyFont="1" applyBorder="1" applyAlignment="1">
      <alignment horizontal="center"/>
    </xf>
    <xf numFmtId="165" fontId="19" fillId="0" borderId="50" xfId="0" applyNumberFormat="1" applyFont="1" applyBorder="1" applyAlignment="1">
      <alignment horizontal="center"/>
    </xf>
    <xf numFmtId="165" fontId="19" fillId="0" borderId="0" xfId="1" applyNumberFormat="1" applyFont="1" applyBorder="1" applyAlignment="1">
      <alignment horizontal="center"/>
    </xf>
    <xf numFmtId="165" fontId="27" fillId="0" borderId="5" xfId="0" applyNumberFormat="1" applyFont="1" applyBorder="1"/>
    <xf numFmtId="165" fontId="19" fillId="0" borderId="50" xfId="1" applyNumberFormat="1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165" fontId="19" fillId="0" borderId="11" xfId="1" applyNumberFormat="1" applyFont="1" applyBorder="1" applyAlignment="1">
      <alignment horizontal="center"/>
    </xf>
    <xf numFmtId="165" fontId="28" fillId="0" borderId="40" xfId="0" applyNumberFormat="1" applyFont="1" applyBorder="1" applyAlignment="1">
      <alignment horizontal="center"/>
    </xf>
    <xf numFmtId="0" fontId="48" fillId="0" borderId="0" xfId="0" applyFont="1"/>
    <xf numFmtId="0" fontId="2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3" fontId="48" fillId="0" borderId="0" xfId="0" applyNumberFormat="1" applyFont="1"/>
    <xf numFmtId="165" fontId="19" fillId="0" borderId="36" xfId="0" applyNumberFormat="1" applyFont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34" fillId="0" borderId="0" xfId="0" applyFont="1" applyAlignment="1">
      <alignment vertical="center"/>
    </xf>
    <xf numFmtId="0" fontId="20" fillId="0" borderId="0" xfId="0" applyFont="1"/>
    <xf numFmtId="0" fontId="38" fillId="0" borderId="29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38" fillId="0" borderId="30" xfId="0" applyFont="1" applyBorder="1" applyAlignment="1">
      <alignment horizontal="left" wrapText="1"/>
    </xf>
    <xf numFmtId="0" fontId="38" fillId="0" borderId="31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39" fillId="0" borderId="0" xfId="0" applyFont="1"/>
    <xf numFmtId="166" fontId="19" fillId="0" borderId="18" xfId="0" applyNumberFormat="1" applyFont="1" applyBorder="1" applyAlignment="1">
      <alignment horizontal="center" vertical="center"/>
    </xf>
    <xf numFmtId="0" fontId="31" fillId="0" borderId="30" xfId="0" applyFont="1" applyBorder="1" applyAlignment="1">
      <alignment horizontal="left" vertical="top" wrapText="1"/>
    </xf>
    <xf numFmtId="0" fontId="27" fillId="0" borderId="29" xfId="0" applyFont="1" applyBorder="1" applyAlignment="1">
      <alignment horizontal="center"/>
    </xf>
    <xf numFmtId="165" fontId="19" fillId="0" borderId="26" xfId="1" applyNumberFormat="1" applyFont="1" applyBorder="1" applyAlignment="1">
      <alignment vertical="center"/>
    </xf>
    <xf numFmtId="0" fontId="19" fillId="0" borderId="0" xfId="0" applyFont="1" applyAlignment="1">
      <alignment horizontal="center"/>
    </xf>
    <xf numFmtId="165" fontId="27" fillId="0" borderId="0" xfId="0" applyNumberFormat="1" applyFont="1" applyAlignment="1">
      <alignment horizontal="center"/>
    </xf>
    <xf numFmtId="165" fontId="28" fillId="0" borderId="0" xfId="0" applyNumberFormat="1" applyFont="1"/>
    <xf numFmtId="0" fontId="19" fillId="0" borderId="17" xfId="0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19" fillId="0" borderId="16" xfId="0" applyFont="1" applyBorder="1" applyAlignment="1">
      <alignment vertical="center" wrapText="1"/>
    </xf>
    <xf numFmtId="49" fontId="19" fillId="0" borderId="18" xfId="0" applyNumberFormat="1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65" fontId="19" fillId="0" borderId="18" xfId="1" applyNumberFormat="1" applyFont="1" applyBorder="1" applyAlignment="1">
      <alignment horizontal="center" vertical="center"/>
    </xf>
    <xf numFmtId="0" fontId="53" fillId="0" borderId="0" xfId="0" applyFont="1"/>
    <xf numFmtId="0" fontId="53" fillId="0" borderId="1" xfId="0" applyFont="1" applyBorder="1"/>
    <xf numFmtId="0" fontId="35" fillId="0" borderId="2" xfId="0" applyFont="1" applyBorder="1"/>
    <xf numFmtId="0" fontId="35" fillId="0" borderId="3" xfId="0" applyFont="1" applyBorder="1"/>
    <xf numFmtId="0" fontId="54" fillId="0" borderId="0" xfId="0" applyFont="1"/>
    <xf numFmtId="0" fontId="35" fillId="0" borderId="6" xfId="0" applyFont="1" applyBorder="1"/>
    <xf numFmtId="0" fontId="35" fillId="0" borderId="1" xfId="0" applyFont="1" applyBorder="1"/>
    <xf numFmtId="0" fontId="35" fillId="0" borderId="7" xfId="0" applyFont="1" applyBorder="1"/>
    <xf numFmtId="0" fontId="55" fillId="0" borderId="0" xfId="0" applyFont="1"/>
    <xf numFmtId="0" fontId="35" fillId="0" borderId="8" xfId="0" applyFont="1" applyBorder="1"/>
    <xf numFmtId="0" fontId="35" fillId="0" borderId="11" xfId="0" applyFont="1" applyBorder="1" applyAlignment="1">
      <alignment horizontal="center" vertical="center"/>
    </xf>
    <xf numFmtId="0" fontId="53" fillId="0" borderId="2" xfId="0" applyFont="1" applyBorder="1"/>
    <xf numFmtId="0" fontId="53" fillId="0" borderId="12" xfId="0" applyFont="1" applyBorder="1"/>
    <xf numFmtId="0" fontId="53" fillId="0" borderId="3" xfId="0" applyFont="1" applyBorder="1"/>
    <xf numFmtId="0" fontId="53" fillId="0" borderId="18" xfId="0" applyFont="1" applyBorder="1"/>
    <xf numFmtId="165" fontId="35" fillId="0" borderId="18" xfId="0" applyNumberFormat="1" applyFont="1" applyBorder="1"/>
    <xf numFmtId="0" fontId="53" fillId="0" borderId="4" xfId="0" applyFont="1" applyBorder="1"/>
    <xf numFmtId="0" fontId="53" fillId="0" borderId="5" xfId="0" applyFont="1" applyBorder="1"/>
    <xf numFmtId="0" fontId="53" fillId="0" borderId="6" xfId="0" applyFont="1" applyBorder="1"/>
    <xf numFmtId="0" fontId="53" fillId="0" borderId="7" xfId="0" applyFont="1" applyBorder="1"/>
    <xf numFmtId="0" fontId="35" fillId="0" borderId="1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/>
    </xf>
    <xf numFmtId="0" fontId="35" fillId="0" borderId="8" xfId="0" applyFont="1" applyBorder="1" applyAlignment="1">
      <alignment horizontal="center"/>
    </xf>
    <xf numFmtId="0" fontId="35" fillId="0" borderId="11" xfId="0" applyFont="1" applyBorder="1"/>
    <xf numFmtId="165" fontId="35" fillId="0" borderId="1" xfId="0" applyNumberFormat="1" applyFont="1" applyBorder="1"/>
    <xf numFmtId="165" fontId="35" fillId="0" borderId="16" xfId="0" applyNumberFormat="1" applyFont="1" applyBorder="1"/>
    <xf numFmtId="0" fontId="54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6" fillId="0" borderId="0" xfId="0" applyFont="1"/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left" indent="8"/>
    </xf>
    <xf numFmtId="0" fontId="50" fillId="4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7" fillId="0" borderId="0" xfId="0" applyFont="1" applyAlignment="1">
      <alignment horizontal="left" vertical="center" indent="9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5" fillId="0" borderId="8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165" fontId="35" fillId="0" borderId="8" xfId="0" applyNumberFormat="1" applyFont="1" applyBorder="1" applyAlignment="1">
      <alignment horizontal="center"/>
    </xf>
    <xf numFmtId="165" fontId="35" fillId="0" borderId="10" xfId="0" applyNumberFormat="1" applyFont="1" applyBorder="1" applyAlignment="1">
      <alignment horizontal="center"/>
    </xf>
    <xf numFmtId="0" fontId="35" fillId="0" borderId="0" xfId="0" applyFont="1" applyAlignment="1">
      <alignment horizontal="center" vertical="center"/>
    </xf>
    <xf numFmtId="0" fontId="26" fillId="0" borderId="0" xfId="2" applyFont="1" applyBorder="1" applyAlignment="1" applyProtection="1">
      <alignment horizontal="center"/>
    </xf>
    <xf numFmtId="0" fontId="26" fillId="0" borderId="5" xfId="2" applyFont="1" applyBorder="1" applyAlignment="1" applyProtection="1">
      <alignment horizontal="center"/>
    </xf>
    <xf numFmtId="0" fontId="34" fillId="0" borderId="4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wrapText="1"/>
    </xf>
    <xf numFmtId="0" fontId="35" fillId="0" borderId="9" xfId="0" applyFont="1" applyBorder="1" applyAlignment="1">
      <alignment horizontal="center" wrapText="1"/>
    </xf>
    <xf numFmtId="0" fontId="35" fillId="0" borderId="10" xfId="0" applyFont="1" applyBorder="1" applyAlignment="1">
      <alignment horizontal="center" wrapText="1"/>
    </xf>
    <xf numFmtId="0" fontId="53" fillId="0" borderId="17" xfId="0" applyFont="1" applyBorder="1" applyAlignment="1">
      <alignment horizontal="center" vertical="center" wrapText="1"/>
    </xf>
    <xf numFmtId="0" fontId="53" fillId="0" borderId="18" xfId="0" applyFont="1" applyBorder="1" applyAlignment="1">
      <alignment horizontal="center" vertical="center" wrapText="1"/>
    </xf>
    <xf numFmtId="0" fontId="53" fillId="0" borderId="16" xfId="0" applyFont="1" applyBorder="1" applyAlignment="1">
      <alignment horizontal="center" vertical="center" wrapText="1"/>
    </xf>
    <xf numFmtId="0" fontId="55" fillId="0" borderId="4" xfId="0" applyFont="1" applyBorder="1" applyAlignment="1">
      <alignment horizontal="center"/>
    </xf>
    <xf numFmtId="0" fontId="55" fillId="0" borderId="0" xfId="0" applyFont="1" applyBorder="1" applyAlignment="1">
      <alignment horizontal="center"/>
    </xf>
    <xf numFmtId="0" fontId="55" fillId="0" borderId="5" xfId="0" applyFont="1" applyBorder="1" applyAlignment="1">
      <alignment horizontal="center"/>
    </xf>
    <xf numFmtId="0" fontId="35" fillId="0" borderId="4" xfId="0" applyFont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55" fillId="0" borderId="0" xfId="0" applyFont="1" applyBorder="1" applyAlignment="1">
      <alignment horizontal="center" vertical="center"/>
    </xf>
    <xf numFmtId="0" fontId="55" fillId="0" borderId="5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27" fillId="0" borderId="6" xfId="0" applyFont="1" applyBorder="1" applyAlignment="1">
      <alignment horizontal="right"/>
    </xf>
    <xf numFmtId="0" fontId="27" fillId="0" borderId="1" xfId="0" applyFont="1" applyBorder="1" applyAlignment="1">
      <alignment horizontal="right"/>
    </xf>
    <xf numFmtId="0" fontId="27" fillId="0" borderId="7" xfId="0" applyFont="1" applyBorder="1" applyAlignment="1">
      <alignment horizontal="right"/>
    </xf>
    <xf numFmtId="0" fontId="27" fillId="2" borderId="8" xfId="0" applyFont="1" applyFill="1" applyBorder="1" applyAlignment="1">
      <alignment horizontal="right"/>
    </xf>
    <xf numFmtId="0" fontId="27" fillId="2" borderId="9" xfId="0" applyFont="1" applyFill="1" applyBorder="1" applyAlignment="1">
      <alignment horizontal="right"/>
    </xf>
    <xf numFmtId="0" fontId="27" fillId="2" borderId="10" xfId="0" applyFont="1" applyFill="1" applyBorder="1" applyAlignment="1">
      <alignment horizontal="right"/>
    </xf>
    <xf numFmtId="0" fontId="27" fillId="0" borderId="8" xfId="0" applyFont="1" applyBorder="1" applyAlignment="1">
      <alignment horizontal="right"/>
    </xf>
    <xf numFmtId="0" fontId="27" fillId="0" borderId="9" xfId="0" applyFont="1" applyBorder="1" applyAlignment="1">
      <alignment horizontal="right"/>
    </xf>
    <xf numFmtId="0" fontId="27" fillId="0" borderId="10" xfId="0" applyFont="1" applyBorder="1" applyAlignment="1">
      <alignment horizontal="right"/>
    </xf>
    <xf numFmtId="0" fontId="27" fillId="0" borderId="8" xfId="0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8" fillId="0" borderId="0" xfId="0" applyFont="1" applyAlignment="1">
      <alignment horizontal="left" indent="8"/>
    </xf>
    <xf numFmtId="49" fontId="19" fillId="0" borderId="17" xfId="0" applyNumberFormat="1" applyFont="1" applyBorder="1" applyAlignment="1">
      <alignment horizontal="center" vertical="center"/>
    </xf>
    <xf numFmtId="49" fontId="19" fillId="0" borderId="16" xfId="0" applyNumberFormat="1" applyFont="1" applyBorder="1" applyAlignment="1">
      <alignment horizontal="center" vertical="center"/>
    </xf>
    <xf numFmtId="14" fontId="23" fillId="0" borderId="17" xfId="0" applyNumberFormat="1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165" fontId="21" fillId="0" borderId="17" xfId="1" applyNumberFormat="1" applyFont="1" applyBorder="1" applyAlignment="1">
      <alignment horizontal="center" vertical="center"/>
    </xf>
    <xf numFmtId="165" fontId="21" fillId="0" borderId="16" xfId="1" applyNumberFormat="1" applyFont="1" applyBorder="1" applyAlignment="1">
      <alignment horizontal="center" vertical="center"/>
    </xf>
    <xf numFmtId="0" fontId="27" fillId="2" borderId="20" xfId="0" applyFont="1" applyFill="1" applyBorder="1" applyAlignment="1">
      <alignment horizontal="center" vertical="center"/>
    </xf>
    <xf numFmtId="0" fontId="27" fillId="2" borderId="23" xfId="0" applyFont="1" applyFill="1" applyBorder="1" applyAlignment="1">
      <alignment horizontal="center" vertical="center"/>
    </xf>
    <xf numFmtId="0" fontId="27" fillId="2" borderId="21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7" fillId="2" borderId="19" xfId="0" applyFont="1" applyFill="1" applyBorder="1" applyAlignment="1">
      <alignment horizontal="center" vertical="center"/>
    </xf>
    <xf numFmtId="0" fontId="27" fillId="2" borderId="22" xfId="0" applyFont="1" applyFill="1" applyBorder="1" applyAlignment="1">
      <alignment horizontal="center" vertical="center"/>
    </xf>
    <xf numFmtId="14" fontId="29" fillId="0" borderId="17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14" fontId="29" fillId="0" borderId="16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9" fillId="0" borderId="17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7" fillId="2" borderId="52" xfId="0" applyFont="1" applyFill="1" applyBorder="1" applyAlignment="1">
      <alignment horizontal="center" vertical="center"/>
    </xf>
    <xf numFmtId="0" fontId="27" fillId="2" borderId="55" xfId="0" applyFont="1" applyFill="1" applyBorder="1" applyAlignment="1">
      <alignment horizontal="center" vertical="center"/>
    </xf>
    <xf numFmtId="0" fontId="27" fillId="2" borderId="41" xfId="0" applyFont="1" applyFill="1" applyBorder="1" applyAlignment="1">
      <alignment horizontal="center" vertical="center"/>
    </xf>
    <xf numFmtId="0" fontId="27" fillId="2" borderId="53" xfId="0" applyFont="1" applyFill="1" applyBorder="1" applyAlignment="1">
      <alignment horizontal="center" vertical="center"/>
    </xf>
    <xf numFmtId="0" fontId="27" fillId="2" borderId="51" xfId="0" applyFont="1" applyFill="1" applyBorder="1" applyAlignment="1">
      <alignment horizontal="center" vertical="center"/>
    </xf>
    <xf numFmtId="0" fontId="27" fillId="2" borderId="54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66" fontId="19" fillId="0" borderId="17" xfId="0" applyNumberFormat="1" applyFont="1" applyBorder="1" applyAlignment="1">
      <alignment horizontal="center" vertical="center"/>
    </xf>
    <xf numFmtId="166" fontId="19" fillId="0" borderId="16" xfId="0" applyNumberFormat="1" applyFont="1" applyBorder="1" applyAlignment="1">
      <alignment horizontal="center" vertical="center"/>
    </xf>
    <xf numFmtId="166" fontId="19" fillId="0" borderId="18" xfId="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65" fontId="21" fillId="0" borderId="18" xfId="1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19" fillId="0" borderId="17" xfId="0" applyNumberFormat="1" applyFont="1" applyBorder="1" applyAlignment="1">
      <alignment horizontal="center" vertical="center"/>
    </xf>
    <xf numFmtId="1" fontId="19" fillId="0" borderId="16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21" fillId="0" borderId="17" xfId="1" applyNumberFormat="1" applyFont="1" applyBorder="1" applyAlignment="1">
      <alignment vertical="center"/>
    </xf>
    <xf numFmtId="165" fontId="21" fillId="0" borderId="16" xfId="1" applyNumberFormat="1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/>
    </xf>
    <xf numFmtId="0" fontId="43" fillId="0" borderId="9" xfId="0" applyFont="1" applyBorder="1" applyAlignment="1">
      <alignment horizontal="center"/>
    </xf>
    <xf numFmtId="0" fontId="43" fillId="0" borderId="10" xfId="0" applyFont="1" applyBorder="1" applyAlignment="1">
      <alignment horizontal="center"/>
    </xf>
    <xf numFmtId="0" fontId="45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3" fillId="0" borderId="43" xfId="0" applyFont="1" applyBorder="1" applyAlignment="1">
      <alignment horizontal="right"/>
    </xf>
    <xf numFmtId="0" fontId="43" fillId="0" borderId="44" xfId="0" applyFont="1" applyBorder="1" applyAlignment="1">
      <alignment horizontal="right"/>
    </xf>
    <xf numFmtId="0" fontId="43" fillId="2" borderId="43" xfId="0" applyFont="1" applyFill="1" applyBorder="1" applyAlignment="1">
      <alignment horizontal="right"/>
    </xf>
    <xf numFmtId="0" fontId="43" fillId="2" borderId="44" xfId="0" applyFont="1" applyFill="1" applyBorder="1" applyAlignment="1">
      <alignment horizontal="right"/>
    </xf>
    <xf numFmtId="0" fontId="43" fillId="0" borderId="22" xfId="0" applyFont="1" applyBorder="1" applyAlignment="1">
      <alignment horizontal="right"/>
    </xf>
    <xf numFmtId="0" fontId="43" fillId="0" borderId="23" xfId="0" applyFont="1" applyBorder="1" applyAlignment="1">
      <alignment horizontal="right"/>
    </xf>
    <xf numFmtId="49" fontId="42" fillId="0" borderId="43" xfId="0" applyNumberFormat="1" applyFont="1" applyBorder="1" applyAlignment="1">
      <alignment horizontal="center" vertical="center"/>
    </xf>
    <xf numFmtId="0" fontId="42" fillId="0" borderId="43" xfId="0" applyFont="1" applyBorder="1" applyAlignment="1">
      <alignment horizontal="center" vertical="center"/>
    </xf>
    <xf numFmtId="14" fontId="42" fillId="0" borderId="44" xfId="0" applyNumberFormat="1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/>
    </xf>
    <xf numFmtId="165" fontId="42" fillId="0" borderId="44" xfId="1" applyNumberFormat="1" applyFont="1" applyBorder="1" applyAlignment="1">
      <alignment horizontal="center" vertical="center"/>
    </xf>
    <xf numFmtId="0" fontId="43" fillId="2" borderId="20" xfId="0" applyFont="1" applyFill="1" applyBorder="1" applyAlignment="1">
      <alignment horizontal="center" vertical="center"/>
    </xf>
    <xf numFmtId="0" fontId="43" fillId="2" borderId="21" xfId="0" applyFont="1" applyFill="1" applyBorder="1" applyAlignment="1">
      <alignment horizontal="center" vertical="center"/>
    </xf>
    <xf numFmtId="0" fontId="43" fillId="2" borderId="19" xfId="0" applyFont="1" applyFill="1" applyBorder="1" applyAlignment="1">
      <alignment horizontal="center" vertical="center"/>
    </xf>
    <xf numFmtId="0" fontId="43" fillId="2" borderId="43" xfId="0" applyFont="1" applyFill="1" applyBorder="1" applyAlignment="1">
      <alignment horizontal="center" vertical="center"/>
    </xf>
    <xf numFmtId="0" fontId="43" fillId="2" borderId="44" xfId="0" applyFont="1" applyFill="1" applyBorder="1" applyAlignment="1">
      <alignment horizontal="center" vertical="center"/>
    </xf>
    <xf numFmtId="0" fontId="41" fillId="0" borderId="0" xfId="0" applyFont="1" applyBorder="1" applyAlignment="1">
      <alignment horizontal="center"/>
    </xf>
    <xf numFmtId="0" fontId="19" fillId="0" borderId="17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12" fillId="0" borderId="17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36" fillId="0" borderId="17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 wrapText="1"/>
    </xf>
    <xf numFmtId="165" fontId="37" fillId="0" borderId="17" xfId="1" applyNumberFormat="1" applyFont="1" applyBorder="1" applyAlignment="1">
      <alignment horizontal="center" vertical="center"/>
    </xf>
    <xf numFmtId="165" fontId="37" fillId="0" borderId="16" xfId="1" applyNumberFormat="1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8" fillId="0" borderId="0" xfId="0" applyFont="1" applyAlignment="1"/>
  </cellXfs>
  <cellStyles count="3">
    <cellStyle name="Lien hypertexte" xfId="2" builtinId="8"/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47625</xdr:colOff>
      <xdr:row>1</xdr:row>
      <xdr:rowOff>295275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809625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85725</xdr:colOff>
      <xdr:row>1</xdr:row>
      <xdr:rowOff>409575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85825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opLeftCell="A16" zoomScaleNormal="100" workbookViewId="0">
      <selection activeCell="Q39" sqref="Q39"/>
    </sheetView>
  </sheetViews>
  <sheetFormatPr baseColWidth="10" defaultRowHeight="15" x14ac:dyDescent="0.25"/>
  <sheetData>
    <row r="1" spans="1:9" ht="52.5" customHeight="1" x14ac:dyDescent="0.25">
      <c r="A1" s="249" t="s">
        <v>1040</v>
      </c>
      <c r="B1" s="249"/>
      <c r="C1" s="249"/>
      <c r="D1" s="249"/>
      <c r="E1" s="249"/>
      <c r="F1" s="249"/>
      <c r="G1" s="249"/>
      <c r="H1" s="249"/>
      <c r="I1" s="249"/>
    </row>
    <row r="2" spans="1:9" ht="40.5" customHeight="1" x14ac:dyDescent="0.25">
      <c r="A2" s="250" t="s">
        <v>1041</v>
      </c>
      <c r="B2" s="250"/>
      <c r="C2" s="250"/>
      <c r="D2" s="250"/>
      <c r="E2" s="250"/>
      <c r="F2" s="250"/>
      <c r="G2" s="250"/>
      <c r="H2" s="250"/>
      <c r="I2" s="250"/>
    </row>
    <row r="3" spans="1:9" ht="16.5" x14ac:dyDescent="0.25">
      <c r="A3" s="38"/>
      <c r="B3" s="38"/>
      <c r="C3" s="38"/>
      <c r="D3" s="38"/>
      <c r="E3" s="38"/>
      <c r="F3" s="38"/>
      <c r="G3" s="38"/>
      <c r="H3" s="38"/>
      <c r="I3" s="38"/>
    </row>
    <row r="4" spans="1:9" ht="48" customHeight="1" x14ac:dyDescent="0.25">
      <c r="A4" s="270" t="s">
        <v>0</v>
      </c>
      <c r="B4" s="270"/>
      <c r="C4" s="270"/>
      <c r="D4" s="270"/>
      <c r="E4" s="270"/>
      <c r="F4" s="270"/>
      <c r="G4" s="270"/>
      <c r="H4" s="270"/>
      <c r="I4" s="270"/>
    </row>
    <row r="7" spans="1:9" ht="17.25" x14ac:dyDescent="0.3">
      <c r="B7" s="1" t="s">
        <v>1044</v>
      </c>
    </row>
    <row r="8" spans="1:9" ht="15.75" thickBot="1" x14ac:dyDescent="0.3">
      <c r="A8" s="2"/>
      <c r="G8" s="3"/>
    </row>
    <row r="9" spans="1:9" ht="16.5" x14ac:dyDescent="0.3">
      <c r="B9" s="4"/>
      <c r="F9" s="5"/>
      <c r="G9" s="6"/>
      <c r="H9" s="7"/>
    </row>
    <row r="10" spans="1:9" ht="17.25" x14ac:dyDescent="0.3">
      <c r="F10" s="256" t="s">
        <v>1047</v>
      </c>
      <c r="G10" s="257"/>
      <c r="H10" s="258"/>
    </row>
    <row r="11" spans="1:9" ht="16.5" x14ac:dyDescent="0.3">
      <c r="A11" s="6" t="s">
        <v>1</v>
      </c>
      <c r="B11" s="6"/>
      <c r="C11" s="6"/>
      <c r="D11" s="8" t="s">
        <v>2</v>
      </c>
      <c r="F11" s="259"/>
      <c r="G11" s="259"/>
      <c r="H11" s="259"/>
    </row>
    <row r="12" spans="1:9" ht="16.5" x14ac:dyDescent="0.3">
      <c r="A12" s="9"/>
      <c r="F12" s="260" t="s">
        <v>3</v>
      </c>
      <c r="G12" s="261"/>
      <c r="H12" s="262"/>
    </row>
    <row r="13" spans="1:9" ht="17.25" thickBot="1" x14ac:dyDescent="0.35">
      <c r="F13" s="10"/>
      <c r="G13" s="11"/>
      <c r="H13" s="12"/>
    </row>
    <row r="14" spans="1:9" ht="16.5" x14ac:dyDescent="0.3">
      <c r="A14" s="13"/>
      <c r="B14" s="13" t="s">
        <v>4</v>
      </c>
      <c r="C14" s="6" t="s">
        <v>5</v>
      </c>
    </row>
    <row r="15" spans="1:9" ht="16.5" x14ac:dyDescent="0.3">
      <c r="A15" s="13"/>
      <c r="B15" s="13" t="s">
        <v>6</v>
      </c>
      <c r="C15" s="13" t="s">
        <v>1046</v>
      </c>
    </row>
    <row r="16" spans="1:9" ht="16.5" x14ac:dyDescent="0.3">
      <c r="A16" s="13"/>
      <c r="B16" s="13"/>
      <c r="C16" s="13"/>
    </row>
    <row r="17" spans="1:8" ht="17.25" thickBot="1" x14ac:dyDescent="0.35">
      <c r="B17" s="13"/>
    </row>
    <row r="18" spans="1:8" ht="17.25" thickBot="1" x14ac:dyDescent="0.35">
      <c r="A18" s="14" t="s">
        <v>7</v>
      </c>
      <c r="B18" s="263" t="s">
        <v>8</v>
      </c>
      <c r="C18" s="264"/>
      <c r="D18" s="264"/>
      <c r="E18" s="264"/>
      <c r="F18" s="264"/>
      <c r="G18" s="265"/>
      <c r="H18" s="15" t="s">
        <v>9</v>
      </c>
    </row>
    <row r="19" spans="1:8" ht="17.25" thickBot="1" x14ac:dyDescent="0.35">
      <c r="A19" s="266" t="s">
        <v>1045</v>
      </c>
      <c r="B19" s="5"/>
      <c r="C19" s="16"/>
      <c r="D19" s="16"/>
      <c r="E19" s="16"/>
      <c r="F19" s="16"/>
      <c r="G19" s="7"/>
      <c r="H19" s="17"/>
    </row>
    <row r="20" spans="1:8" ht="17.25" thickBot="1" x14ac:dyDescent="0.35">
      <c r="A20" s="267"/>
      <c r="B20" s="268" t="s">
        <v>11</v>
      </c>
      <c r="C20" s="269"/>
      <c r="D20" s="269"/>
      <c r="E20" s="268" t="s">
        <v>12</v>
      </c>
      <c r="F20" s="269"/>
      <c r="G20" s="254"/>
      <c r="H20" s="17"/>
    </row>
    <row r="21" spans="1:8" ht="17.25" thickBot="1" x14ac:dyDescent="0.35">
      <c r="A21" s="267"/>
      <c r="B21" s="18" t="s">
        <v>13</v>
      </c>
      <c r="C21" s="19" t="s">
        <v>14</v>
      </c>
      <c r="D21" s="20" t="s">
        <v>15</v>
      </c>
      <c r="E21" s="19" t="s">
        <v>16</v>
      </c>
      <c r="F21" s="20" t="s">
        <v>14</v>
      </c>
      <c r="G21" s="19" t="s">
        <v>17</v>
      </c>
      <c r="H21" s="17"/>
    </row>
    <row r="22" spans="1:8" ht="16.5" x14ac:dyDescent="0.3">
      <c r="A22" s="267"/>
      <c r="B22" s="21">
        <v>42</v>
      </c>
      <c r="C22" s="22">
        <v>10000</v>
      </c>
      <c r="D22" s="22">
        <f>B22*C22</f>
        <v>420000</v>
      </c>
      <c r="E22" s="22">
        <v>0</v>
      </c>
      <c r="F22" s="22">
        <v>3500</v>
      </c>
      <c r="G22" s="23">
        <f>+E22*F22</f>
        <v>0</v>
      </c>
      <c r="H22" s="24">
        <f>(+D22+G22)</f>
        <v>420000</v>
      </c>
    </row>
    <row r="23" spans="1:8" ht="16.5" x14ac:dyDescent="0.3">
      <c r="A23" s="267"/>
      <c r="B23" s="25"/>
      <c r="C23" s="6"/>
      <c r="D23" s="6"/>
      <c r="E23" s="6"/>
      <c r="F23" s="6"/>
      <c r="G23" s="17"/>
      <c r="H23" s="17"/>
    </row>
    <row r="24" spans="1:8" ht="16.5" x14ac:dyDescent="0.3">
      <c r="A24" s="267"/>
      <c r="B24" s="25"/>
      <c r="C24" s="6"/>
      <c r="D24" s="6"/>
      <c r="E24" s="6"/>
      <c r="F24" s="6"/>
      <c r="G24" s="17"/>
      <c r="H24" s="17"/>
    </row>
    <row r="25" spans="1:8" ht="17.25" thickBot="1" x14ac:dyDescent="0.35">
      <c r="A25" s="267"/>
      <c r="B25" s="10"/>
      <c r="C25" s="11"/>
      <c r="D25" s="11"/>
      <c r="E25" s="11"/>
      <c r="F25" s="11"/>
      <c r="G25" s="12"/>
      <c r="H25" s="17"/>
    </row>
    <row r="26" spans="1:8" ht="17.25" thickBot="1" x14ac:dyDescent="0.3">
      <c r="A26" s="15" t="s">
        <v>18</v>
      </c>
      <c r="B26" s="251" t="s">
        <v>19</v>
      </c>
      <c r="C26" s="252"/>
      <c r="D26" s="26" t="s">
        <v>20</v>
      </c>
      <c r="E26" s="15"/>
      <c r="F26" s="26" t="s">
        <v>21</v>
      </c>
      <c r="G26" s="26" t="s">
        <v>19</v>
      </c>
      <c r="H26" s="15" t="s">
        <v>22</v>
      </c>
    </row>
    <row r="27" spans="1:8" ht="18" thickBot="1" x14ac:dyDescent="0.35">
      <c r="A27" s="15">
        <v>226</v>
      </c>
      <c r="B27" s="253">
        <f>+H22</f>
        <v>420000</v>
      </c>
      <c r="C27" s="254"/>
      <c r="D27" s="27">
        <f>0</f>
        <v>0</v>
      </c>
      <c r="E27" s="28"/>
      <c r="F27" s="15">
        <f>0</f>
        <v>0</v>
      </c>
      <c r="G27" s="29">
        <f>+H22</f>
        <v>420000</v>
      </c>
      <c r="H27" s="30">
        <f>+H22</f>
        <v>420000</v>
      </c>
    </row>
    <row r="29" spans="1:8" ht="16.5" x14ac:dyDescent="0.25">
      <c r="A29" s="31" t="s">
        <v>23</v>
      </c>
      <c r="B29" s="32"/>
      <c r="C29" s="32"/>
      <c r="D29" s="32"/>
      <c r="E29" s="32"/>
      <c r="F29" s="32"/>
      <c r="G29" s="32"/>
    </row>
    <row r="30" spans="1:8" ht="16.5" x14ac:dyDescent="0.25">
      <c r="A30" s="33" t="s">
        <v>1048</v>
      </c>
      <c r="B30" s="32"/>
      <c r="C30" s="32"/>
      <c r="D30" s="32"/>
      <c r="E30" s="32"/>
      <c r="F30" s="32"/>
      <c r="G30" s="32"/>
    </row>
    <row r="31" spans="1:8" ht="16.5" x14ac:dyDescent="0.25">
      <c r="A31" s="32" t="s">
        <v>24</v>
      </c>
      <c r="B31" s="32"/>
      <c r="C31" s="32"/>
      <c r="D31" s="32"/>
      <c r="E31" s="32"/>
      <c r="F31" s="32"/>
      <c r="G31" s="32"/>
    </row>
    <row r="32" spans="1:8" ht="16.5" x14ac:dyDescent="0.25">
      <c r="A32" s="32" t="s">
        <v>25</v>
      </c>
      <c r="B32" s="32"/>
      <c r="C32" s="32"/>
      <c r="D32" s="32"/>
      <c r="E32" s="32"/>
      <c r="F32" s="32"/>
      <c r="G32" s="32"/>
    </row>
    <row r="33" spans="1:8" ht="16.5" x14ac:dyDescent="0.25">
      <c r="A33" s="32" t="s">
        <v>26</v>
      </c>
      <c r="B33" s="32"/>
      <c r="C33" s="32"/>
      <c r="D33" s="32"/>
      <c r="E33" s="32"/>
      <c r="F33" s="32"/>
      <c r="G33" s="32"/>
    </row>
    <row r="34" spans="1:8" ht="16.5" x14ac:dyDescent="0.25">
      <c r="A34" s="32" t="s">
        <v>27</v>
      </c>
      <c r="B34" s="32"/>
      <c r="C34" s="32"/>
      <c r="D34" s="32"/>
      <c r="E34" s="32"/>
      <c r="F34" s="32"/>
      <c r="G34" s="32"/>
    </row>
    <row r="39" spans="1:8" ht="16.5" x14ac:dyDescent="0.3">
      <c r="D39" s="13" t="s">
        <v>28</v>
      </c>
      <c r="E39" s="13"/>
      <c r="F39" s="13"/>
    </row>
    <row r="40" spans="1:8" ht="16.5" x14ac:dyDescent="0.3">
      <c r="D40" s="13" t="s">
        <v>29</v>
      </c>
      <c r="E40" s="13"/>
      <c r="F40" s="13"/>
    </row>
    <row r="41" spans="1:8" ht="16.5" x14ac:dyDescent="0.3">
      <c r="D41" s="350" t="s">
        <v>1049</v>
      </c>
      <c r="E41" s="350"/>
      <c r="F41" s="350"/>
      <c r="G41" s="403"/>
    </row>
    <row r="43" spans="1:8" ht="16.5" x14ac:dyDescent="0.25">
      <c r="A43" s="32"/>
      <c r="B43" s="32"/>
      <c r="C43" s="32"/>
      <c r="D43" s="32"/>
      <c r="E43" s="32"/>
      <c r="F43" s="32"/>
      <c r="G43" s="32"/>
    </row>
    <row r="44" spans="1:8" ht="16.5" x14ac:dyDescent="0.25">
      <c r="A44" s="32"/>
      <c r="B44" s="32"/>
      <c r="C44" s="34"/>
      <c r="D44" s="357" t="s">
        <v>1050</v>
      </c>
      <c r="E44" s="357"/>
      <c r="F44" s="357"/>
      <c r="G44" s="34"/>
      <c r="H44" s="34"/>
    </row>
    <row r="45" spans="1:8" ht="18" x14ac:dyDescent="0.25">
      <c r="A45" s="35"/>
      <c r="B45" s="32"/>
      <c r="C45" s="32"/>
      <c r="D45" s="255"/>
      <c r="E45" s="255"/>
      <c r="F45" s="255"/>
      <c r="G45" s="36"/>
      <c r="H45" s="36"/>
    </row>
    <row r="46" spans="1:8" ht="16.5" x14ac:dyDescent="0.25">
      <c r="A46" s="32"/>
      <c r="B46" s="32"/>
      <c r="C46" s="32"/>
      <c r="D46" s="32"/>
      <c r="E46" s="32"/>
      <c r="F46" s="32"/>
      <c r="G46" s="32"/>
    </row>
  </sheetData>
  <mergeCells count="15">
    <mergeCell ref="A1:I1"/>
    <mergeCell ref="A2:I2"/>
    <mergeCell ref="B26:C26"/>
    <mergeCell ref="B27:C27"/>
    <mergeCell ref="D45:F45"/>
    <mergeCell ref="F10:H10"/>
    <mergeCell ref="F11:H11"/>
    <mergeCell ref="F12:H12"/>
    <mergeCell ref="B18:G18"/>
    <mergeCell ref="A19:A25"/>
    <mergeCell ref="B20:D20"/>
    <mergeCell ref="E20:G20"/>
    <mergeCell ref="A4:I4"/>
    <mergeCell ref="D41:F41"/>
    <mergeCell ref="D44:F44"/>
  </mergeCells>
  <pageMargins left="0.7" right="0.7" top="0.84208333333333329" bottom="0.75" header="0.3" footer="0.3"/>
  <pageSetup paperSize="9" scale="86" orientation="portrait" r:id="rId1"/>
  <headerFooter>
    <oddHeader xml:space="preserve">&amp;C&amp;"Times New Roman,Gras"&amp;13 
</oddHeader>
    <oddFooter>&amp;C&amp;8&amp;K002060 Benin-Burkina-Cameroun-Centrafrique-Comore-Congo-Côte d'ivoire-Gabon-Guinée-Guinée Equatorial-Guinée Bissau-France-Madagascar-Mali-Mauritanie-Niger-Rwanda-Sénégal-Tchad-Togo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view="pageLayout" zoomScaleNormal="100" workbookViewId="0">
      <selection activeCell="L12" sqref="L12"/>
    </sheetView>
  </sheetViews>
  <sheetFormatPr baseColWidth="10" defaultRowHeight="15" x14ac:dyDescent="0.25"/>
  <sheetData>
    <row r="1" spans="1:10" ht="42.75" customHeight="1" x14ac:dyDescent="0.25">
      <c r="A1" s="249" t="s">
        <v>1040</v>
      </c>
      <c r="B1" s="249"/>
      <c r="C1" s="249"/>
      <c r="D1" s="249"/>
      <c r="E1" s="249"/>
      <c r="F1" s="249"/>
      <c r="G1" s="249"/>
      <c r="H1" s="249"/>
      <c r="I1" s="249"/>
    </row>
    <row r="2" spans="1:10" ht="34.5" customHeight="1" x14ac:dyDescent="0.25">
      <c r="A2" s="250" t="s">
        <v>1041</v>
      </c>
      <c r="B2" s="250"/>
      <c r="C2" s="250"/>
      <c r="D2" s="250"/>
      <c r="E2" s="250"/>
      <c r="F2" s="250"/>
      <c r="G2" s="250"/>
      <c r="H2" s="250"/>
      <c r="I2" s="250"/>
      <c r="J2" s="37"/>
    </row>
    <row r="3" spans="1:10" ht="16.5" thickBot="1" x14ac:dyDescent="0.3">
      <c r="A3" s="105"/>
      <c r="B3" s="216"/>
      <c r="C3" s="216"/>
      <c r="D3" s="216"/>
      <c r="E3" s="216"/>
      <c r="F3" s="216"/>
      <c r="G3" s="217"/>
      <c r="H3" s="216"/>
    </row>
    <row r="4" spans="1:10" ht="15.75" x14ac:dyDescent="0.25">
      <c r="A4" s="105" t="s">
        <v>30</v>
      </c>
      <c r="B4" s="105"/>
      <c r="C4" s="216"/>
      <c r="D4" s="216"/>
      <c r="E4" s="216"/>
      <c r="F4" s="218" t="s">
        <v>31</v>
      </c>
      <c r="G4" s="105"/>
      <c r="H4" s="219"/>
    </row>
    <row r="5" spans="1:10" ht="15.75" x14ac:dyDescent="0.25">
      <c r="A5" s="216"/>
      <c r="B5" s="220" t="s">
        <v>1</v>
      </c>
      <c r="C5" s="216"/>
      <c r="D5" s="105"/>
      <c r="E5" s="105" t="s">
        <v>2</v>
      </c>
      <c r="F5" s="276" t="s">
        <v>32</v>
      </c>
      <c r="G5" s="276"/>
      <c r="H5" s="277"/>
    </row>
    <row r="6" spans="1:10" ht="15.75" x14ac:dyDescent="0.25">
      <c r="A6" s="216"/>
      <c r="B6" s="216"/>
      <c r="C6" s="216"/>
      <c r="D6" s="216"/>
      <c r="E6" s="216"/>
      <c r="F6" s="278" t="s">
        <v>33</v>
      </c>
      <c r="G6" s="279"/>
      <c r="H6" s="280"/>
    </row>
    <row r="7" spans="1:10" ht="16.5" thickBot="1" x14ac:dyDescent="0.3">
      <c r="A7" s="105"/>
      <c r="B7" s="105"/>
      <c r="C7" s="216"/>
      <c r="D7" s="216"/>
      <c r="E7" s="216"/>
      <c r="F7" s="221"/>
      <c r="G7" s="222"/>
      <c r="H7" s="223"/>
    </row>
    <row r="8" spans="1:10" ht="15.75" x14ac:dyDescent="0.25">
      <c r="A8" s="216"/>
      <c r="B8" s="216"/>
      <c r="C8" s="216"/>
      <c r="D8" s="216"/>
      <c r="E8" s="216"/>
      <c r="F8" s="216"/>
      <c r="G8" s="216"/>
      <c r="H8" s="216"/>
    </row>
    <row r="9" spans="1:10" ht="15.75" x14ac:dyDescent="0.25">
      <c r="A9" s="105"/>
      <c r="B9" s="105" t="s">
        <v>34</v>
      </c>
      <c r="C9" s="224"/>
      <c r="D9" s="216"/>
      <c r="E9" s="216"/>
      <c r="F9" s="216"/>
      <c r="G9" s="216"/>
      <c r="H9" s="216"/>
    </row>
    <row r="10" spans="1:10" ht="15.75" x14ac:dyDescent="0.25">
      <c r="A10" s="105"/>
      <c r="B10" s="105"/>
      <c r="C10" s="105"/>
      <c r="D10" s="216"/>
      <c r="E10" s="216"/>
      <c r="F10" s="216"/>
      <c r="G10" s="216"/>
      <c r="H10" s="216"/>
    </row>
    <row r="11" spans="1:10" ht="16.5" thickBot="1" x14ac:dyDescent="0.3">
      <c r="A11" s="216"/>
      <c r="B11" s="216"/>
      <c r="C11" s="216"/>
      <c r="D11" s="216"/>
      <c r="E11" s="216"/>
      <c r="F11" s="216"/>
      <c r="G11" s="216"/>
      <c r="H11" s="216"/>
    </row>
    <row r="12" spans="1:10" ht="16.5" thickBot="1" x14ac:dyDescent="0.3">
      <c r="A12" s="225" t="s">
        <v>7</v>
      </c>
      <c r="B12" s="281" t="s">
        <v>8</v>
      </c>
      <c r="C12" s="282"/>
      <c r="D12" s="282"/>
      <c r="E12" s="282"/>
      <c r="F12" s="282"/>
      <c r="G12" s="283"/>
      <c r="H12" s="226" t="s">
        <v>9</v>
      </c>
    </row>
    <row r="13" spans="1:10" ht="15.75" x14ac:dyDescent="0.25">
      <c r="A13" s="284" t="s">
        <v>35</v>
      </c>
      <c r="B13" s="227"/>
      <c r="C13" s="228"/>
      <c r="D13" s="228"/>
      <c r="E13" s="228"/>
      <c r="F13" s="228"/>
      <c r="G13" s="229"/>
      <c r="H13" s="230"/>
    </row>
    <row r="14" spans="1:10" ht="15.75" x14ac:dyDescent="0.25">
      <c r="A14" s="285"/>
      <c r="B14" s="287" t="s">
        <v>36</v>
      </c>
      <c r="C14" s="288"/>
      <c r="D14" s="288"/>
      <c r="E14" s="288"/>
      <c r="F14" s="288"/>
      <c r="G14" s="289"/>
      <c r="H14" s="230"/>
    </row>
    <row r="15" spans="1:10" ht="15.75" x14ac:dyDescent="0.25">
      <c r="A15" s="285"/>
      <c r="B15" s="290" t="s">
        <v>37</v>
      </c>
      <c r="C15" s="291"/>
      <c r="D15" s="291"/>
      <c r="E15" s="291"/>
      <c r="F15" s="291"/>
      <c r="G15" s="292"/>
      <c r="H15" s="230"/>
    </row>
    <row r="16" spans="1:10" ht="15.75" x14ac:dyDescent="0.25">
      <c r="A16" s="285"/>
      <c r="B16" s="293"/>
      <c r="C16" s="294"/>
      <c r="D16" s="294"/>
      <c r="E16" s="294"/>
      <c r="F16" s="294"/>
      <c r="G16" s="295"/>
      <c r="H16" s="231">
        <v>400000</v>
      </c>
    </row>
    <row r="17" spans="1:8" ht="15.75" x14ac:dyDescent="0.25">
      <c r="A17" s="285"/>
      <c r="B17" s="232"/>
      <c r="C17" s="296"/>
      <c r="D17" s="296"/>
      <c r="E17" s="296"/>
      <c r="F17" s="296"/>
      <c r="G17" s="233"/>
      <c r="H17" s="230"/>
    </row>
    <row r="18" spans="1:8" ht="16.5" thickBot="1" x14ac:dyDescent="0.3">
      <c r="A18" s="286"/>
      <c r="B18" s="234"/>
      <c r="C18" s="217"/>
      <c r="D18" s="217"/>
      <c r="E18" s="217"/>
      <c r="F18" s="217"/>
      <c r="G18" s="235"/>
      <c r="H18" s="230"/>
    </row>
    <row r="19" spans="1:8" ht="16.5" thickBot="1" x14ac:dyDescent="0.3">
      <c r="A19" s="226" t="s">
        <v>38</v>
      </c>
      <c r="B19" s="271" t="s">
        <v>19</v>
      </c>
      <c r="C19" s="272"/>
      <c r="D19" s="236" t="s">
        <v>20</v>
      </c>
      <c r="E19" s="237"/>
      <c r="F19" s="236" t="s">
        <v>21</v>
      </c>
      <c r="G19" s="236" t="s">
        <v>39</v>
      </c>
      <c r="H19" s="226" t="s">
        <v>22</v>
      </c>
    </row>
    <row r="20" spans="1:8" ht="16.5" thickBot="1" x14ac:dyDescent="0.3">
      <c r="A20" s="238" t="s">
        <v>40</v>
      </c>
      <c r="B20" s="273">
        <f>+H16</f>
        <v>400000</v>
      </c>
      <c r="C20" s="274"/>
      <c r="D20" s="239">
        <f>0</f>
        <v>0</v>
      </c>
      <c r="E20" s="222"/>
      <c r="F20" s="240">
        <f>0</f>
        <v>0</v>
      </c>
      <c r="G20" s="241">
        <f>+B20</f>
        <v>400000</v>
      </c>
      <c r="H20" s="242">
        <f>+H16</f>
        <v>400000</v>
      </c>
    </row>
    <row r="21" spans="1:8" ht="15.75" x14ac:dyDescent="0.25">
      <c r="A21" s="216"/>
      <c r="B21" s="216"/>
      <c r="C21" s="216"/>
      <c r="D21" s="216"/>
      <c r="E21" s="216"/>
      <c r="F21" s="216"/>
      <c r="G21" s="216"/>
      <c r="H21" s="216"/>
    </row>
    <row r="22" spans="1:8" ht="15.75" x14ac:dyDescent="0.25">
      <c r="A22" s="243" t="s">
        <v>41</v>
      </c>
      <c r="B22" s="244"/>
      <c r="C22" s="244"/>
      <c r="D22" s="244"/>
      <c r="E22" s="244"/>
      <c r="F22" s="244"/>
      <c r="G22" s="244"/>
      <c r="H22" s="216"/>
    </row>
    <row r="23" spans="1:8" ht="15.75" x14ac:dyDescent="0.25">
      <c r="A23" s="245" t="s">
        <v>42</v>
      </c>
      <c r="B23" s="244"/>
      <c r="C23" s="244"/>
      <c r="D23" s="244"/>
      <c r="E23" s="244"/>
      <c r="F23" s="244"/>
      <c r="G23" s="244"/>
      <c r="H23" s="216"/>
    </row>
    <row r="24" spans="1:8" ht="15.75" x14ac:dyDescent="0.25">
      <c r="A24" s="244" t="s">
        <v>24</v>
      </c>
      <c r="B24" s="244"/>
      <c r="C24" s="244"/>
      <c r="D24" s="244"/>
      <c r="E24" s="244"/>
      <c r="F24" s="244"/>
      <c r="G24" s="244"/>
      <c r="H24" s="216"/>
    </row>
    <row r="25" spans="1:8" ht="15.75" x14ac:dyDescent="0.25">
      <c r="A25" s="244" t="s">
        <v>1042</v>
      </c>
      <c r="B25" s="244"/>
      <c r="C25" s="244"/>
      <c r="D25" s="244"/>
      <c r="E25" s="244"/>
      <c r="F25" s="244"/>
      <c r="G25" s="244"/>
      <c r="H25" s="216"/>
    </row>
    <row r="26" spans="1:8" ht="15.75" x14ac:dyDescent="0.25">
      <c r="A26" s="244" t="s">
        <v>43</v>
      </c>
      <c r="B26" s="244"/>
      <c r="C26" s="244"/>
      <c r="D26" s="244"/>
      <c r="E26" s="244"/>
      <c r="F26" s="244"/>
      <c r="G26" s="244"/>
      <c r="H26" s="216"/>
    </row>
    <row r="27" spans="1:8" ht="15.75" x14ac:dyDescent="0.25">
      <c r="A27" s="244" t="s">
        <v>44</v>
      </c>
      <c r="B27" s="244"/>
      <c r="C27" s="244"/>
      <c r="D27" s="244"/>
      <c r="E27" s="244"/>
      <c r="F27" s="244"/>
      <c r="G27" s="244"/>
      <c r="H27" s="216"/>
    </row>
    <row r="28" spans="1:8" ht="15.75" x14ac:dyDescent="0.25">
      <c r="A28" s="244"/>
      <c r="B28" s="244"/>
      <c r="C28" s="244"/>
      <c r="D28" s="244"/>
      <c r="E28" s="244"/>
      <c r="F28" s="244"/>
      <c r="G28" s="244"/>
      <c r="H28" s="216"/>
    </row>
    <row r="29" spans="1:8" ht="15.75" x14ac:dyDescent="0.25">
      <c r="A29" s="216"/>
      <c r="B29" s="216"/>
      <c r="C29" s="216"/>
      <c r="D29" s="216"/>
      <c r="E29" s="216"/>
      <c r="F29" s="216"/>
      <c r="G29" s="216"/>
      <c r="H29" s="216"/>
    </row>
    <row r="30" spans="1:8" ht="15.75" x14ac:dyDescent="0.25">
      <c r="A30" s="216"/>
      <c r="B30" s="216"/>
      <c r="C30" s="216"/>
      <c r="D30" s="246"/>
      <c r="E30" s="105" t="s">
        <v>28</v>
      </c>
      <c r="F30" s="105"/>
      <c r="G30" s="105"/>
      <c r="H30" s="246"/>
    </row>
    <row r="31" spans="1:8" ht="15.75" x14ac:dyDescent="0.25">
      <c r="A31" s="216"/>
      <c r="B31" s="216"/>
      <c r="C31" s="216"/>
      <c r="D31" s="246"/>
      <c r="E31" s="105" t="s">
        <v>29</v>
      </c>
      <c r="F31" s="105"/>
      <c r="G31" s="105"/>
      <c r="H31" s="246"/>
    </row>
    <row r="32" spans="1:8" ht="15.75" x14ac:dyDescent="0.25">
      <c r="A32" s="216"/>
      <c r="B32" s="216"/>
      <c r="C32" s="216"/>
      <c r="D32" s="246"/>
      <c r="E32" s="247" t="s">
        <v>45</v>
      </c>
      <c r="F32" s="248"/>
      <c r="G32" s="248"/>
      <c r="H32" s="246"/>
    </row>
    <row r="33" spans="1:8" ht="15.75" x14ac:dyDescent="0.25">
      <c r="A33" s="216"/>
      <c r="B33" s="216"/>
      <c r="C33" s="216"/>
      <c r="D33" s="246"/>
      <c r="E33" s="247"/>
      <c r="F33" s="248"/>
      <c r="G33" s="248"/>
      <c r="H33" s="246"/>
    </row>
    <row r="34" spans="1:8" ht="15.75" x14ac:dyDescent="0.25">
      <c r="A34" s="216"/>
      <c r="B34" s="216"/>
      <c r="C34" s="216"/>
      <c r="D34" s="246"/>
      <c r="E34" s="246"/>
      <c r="F34" s="246"/>
      <c r="G34" s="246"/>
      <c r="H34" s="246"/>
    </row>
    <row r="35" spans="1:8" ht="15.75" x14ac:dyDescent="0.25">
      <c r="A35" s="244"/>
      <c r="B35" s="244"/>
      <c r="C35" s="244"/>
      <c r="D35" s="244"/>
      <c r="E35" s="275" t="s">
        <v>1043</v>
      </c>
      <c r="F35" s="275"/>
      <c r="G35" s="275"/>
      <c r="H35" s="244"/>
    </row>
  </sheetData>
  <mergeCells count="13">
    <mergeCell ref="B19:C19"/>
    <mergeCell ref="B20:C20"/>
    <mergeCell ref="E35:G35"/>
    <mergeCell ref="A1:I1"/>
    <mergeCell ref="A2:I2"/>
    <mergeCell ref="F5:H5"/>
    <mergeCell ref="F6:H6"/>
    <mergeCell ref="B12:G12"/>
    <mergeCell ref="A13:A18"/>
    <mergeCell ref="B14:G14"/>
    <mergeCell ref="B15:G15"/>
    <mergeCell ref="B16:G16"/>
    <mergeCell ref="C17:F17"/>
  </mergeCells>
  <pageMargins left="0.7" right="0.7" top="0.75" bottom="0.75" header="0.3" footer="0.3"/>
  <pageSetup paperSize="9" scale="86" orientation="portrait" horizontalDpi="300" verticalDpi="300" r:id="rId1"/>
  <headerFooter>
    <oddFooter>&amp;C&amp;8&amp;K002060 Benin-Burkina-Cameroun-Centrafrique-Comore-Congo-Côte d'ivoire-Gabon-Guinée-Guinée Equatorial-Guinée Bissau-France-Madagascar-Mali-Mauritanie-Niger-Rwanda-Sénégal-Tchad-Togo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18"/>
  <sheetViews>
    <sheetView topLeftCell="H141" workbookViewId="0">
      <selection activeCell="T22" sqref="T22"/>
    </sheetView>
  </sheetViews>
  <sheetFormatPr baseColWidth="10" defaultRowHeight="15" x14ac:dyDescent="0.25"/>
  <cols>
    <col min="1" max="1" width="5.5703125" style="41" hidden="1" customWidth="1"/>
    <col min="2" max="2" width="21.140625" style="41" hidden="1" customWidth="1"/>
    <col min="3" max="3" width="19.7109375" style="41" hidden="1" customWidth="1"/>
    <col min="4" max="4" width="19.140625" style="41" hidden="1" customWidth="1"/>
    <col min="5" max="5" width="18.28515625" style="41" hidden="1" customWidth="1"/>
    <col min="6" max="6" width="11.7109375" style="41" hidden="1" customWidth="1"/>
    <col min="7" max="7" width="1.7109375" style="41" hidden="1" customWidth="1"/>
    <col min="8" max="8" width="16.140625" style="41" customWidth="1"/>
    <col min="9" max="9" width="20.42578125" style="41" customWidth="1"/>
    <col min="10" max="10" width="21.85546875" style="41" customWidth="1"/>
    <col min="11" max="11" width="28.5703125" style="41" customWidth="1"/>
    <col min="12" max="12" width="17.42578125" style="41" customWidth="1"/>
    <col min="13" max="13" width="22" style="41" customWidth="1"/>
    <col min="14" max="14" width="6.42578125" style="41" customWidth="1"/>
    <col min="15" max="15" width="17.5703125" style="41" customWidth="1"/>
    <col min="16" max="16" width="11.42578125" style="41"/>
    <col min="17" max="17" width="14.140625" style="41" bestFit="1" customWidth="1"/>
    <col min="18" max="18" width="12.85546875" style="41" customWidth="1"/>
    <col min="19" max="16384" width="11.42578125" style="41"/>
  </cols>
  <sheetData>
    <row r="1" spans="1:15" ht="14.25" customHeight="1" x14ac:dyDescent="0.25">
      <c r="A1" s="39" t="s">
        <v>46</v>
      </c>
      <c r="B1" s="40"/>
      <c r="H1" s="42" t="s">
        <v>46</v>
      </c>
      <c r="I1" s="40"/>
    </row>
    <row r="2" spans="1:15" x14ac:dyDescent="0.25">
      <c r="A2" s="41" t="s">
        <v>47</v>
      </c>
      <c r="H2" s="43" t="s">
        <v>47</v>
      </c>
    </row>
    <row r="3" spans="1:15" x14ac:dyDescent="0.25">
      <c r="A3" s="41" t="s">
        <v>48</v>
      </c>
      <c r="H3" s="43" t="s">
        <v>48</v>
      </c>
    </row>
    <row r="4" spans="1:15" x14ac:dyDescent="0.25">
      <c r="A4" s="41" t="s">
        <v>49</v>
      </c>
      <c r="H4" s="43" t="s">
        <v>49</v>
      </c>
    </row>
    <row r="5" spans="1:15" ht="5.25" customHeight="1" x14ac:dyDescent="0.25">
      <c r="A5" s="40"/>
      <c r="B5" s="40"/>
      <c r="H5" s="44"/>
      <c r="I5" s="40"/>
    </row>
    <row r="6" spans="1:15" ht="16.5" x14ac:dyDescent="0.25">
      <c r="A6" s="45" t="s">
        <v>50</v>
      </c>
      <c r="G6" s="45"/>
      <c r="H6" s="46" t="s">
        <v>51</v>
      </c>
      <c r="N6" s="45"/>
    </row>
    <row r="7" spans="1:15" ht="15.75" x14ac:dyDescent="0.25">
      <c r="A7" s="47" t="s">
        <v>52</v>
      </c>
      <c r="G7" s="47"/>
      <c r="H7" s="48" t="s">
        <v>53</v>
      </c>
      <c r="N7" s="47"/>
    </row>
    <row r="8" spans="1:15" ht="17.25" customHeight="1" x14ac:dyDescent="0.25">
      <c r="A8" s="326" t="s">
        <v>54</v>
      </c>
      <c r="B8" s="326"/>
      <c r="C8" s="326"/>
      <c r="D8" s="326"/>
      <c r="E8" s="326"/>
      <c r="F8" s="326"/>
      <c r="G8" s="326"/>
      <c r="H8" s="326" t="s">
        <v>55</v>
      </c>
      <c r="I8" s="326"/>
      <c r="J8" s="326"/>
      <c r="K8" s="326"/>
      <c r="L8" s="326"/>
      <c r="M8" s="326"/>
      <c r="N8" s="326"/>
      <c r="O8" s="326"/>
    </row>
    <row r="9" spans="1:15" ht="3.75" customHeight="1" thickBot="1" x14ac:dyDescent="0.3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</row>
    <row r="10" spans="1:15" x14ac:dyDescent="0.25">
      <c r="A10" s="327" t="s">
        <v>56</v>
      </c>
      <c r="B10" s="322" t="s">
        <v>57</v>
      </c>
      <c r="C10" s="322" t="s">
        <v>58</v>
      </c>
      <c r="D10" s="322" t="s">
        <v>7</v>
      </c>
      <c r="E10" s="322" t="s">
        <v>59</v>
      </c>
      <c r="F10" s="322" t="s">
        <v>60</v>
      </c>
      <c r="G10" s="50" t="s">
        <v>61</v>
      </c>
      <c r="H10" s="327" t="s">
        <v>56</v>
      </c>
      <c r="I10" s="322" t="s">
        <v>57</v>
      </c>
      <c r="J10" s="322" t="s">
        <v>58</v>
      </c>
      <c r="K10" s="322" t="s">
        <v>7</v>
      </c>
      <c r="L10" s="322" t="s">
        <v>59</v>
      </c>
      <c r="M10" s="322" t="s">
        <v>60</v>
      </c>
      <c r="N10" s="322" t="s">
        <v>61</v>
      </c>
      <c r="O10" s="324"/>
    </row>
    <row r="11" spans="1:15" ht="15.75" thickBot="1" x14ac:dyDescent="0.3">
      <c r="A11" s="328"/>
      <c r="B11" s="323"/>
      <c r="C11" s="323"/>
      <c r="D11" s="323"/>
      <c r="E11" s="323"/>
      <c r="F11" s="323"/>
      <c r="G11" s="51" t="s">
        <v>62</v>
      </c>
      <c r="H11" s="328"/>
      <c r="I11" s="323"/>
      <c r="J11" s="323"/>
      <c r="K11" s="323"/>
      <c r="L11" s="323"/>
      <c r="M11" s="323"/>
      <c r="N11" s="51" t="s">
        <v>62</v>
      </c>
      <c r="O11" s="52" t="s">
        <v>63</v>
      </c>
    </row>
    <row r="12" spans="1:15" ht="12" customHeight="1" x14ac:dyDescent="0.25">
      <c r="A12" s="318">
        <v>237</v>
      </c>
      <c r="B12" s="312">
        <v>42228</v>
      </c>
      <c r="C12" s="395" t="s">
        <v>64</v>
      </c>
      <c r="D12" s="318" t="s">
        <v>65</v>
      </c>
      <c r="E12" s="318" t="s">
        <v>66</v>
      </c>
      <c r="F12" s="320">
        <v>120000</v>
      </c>
      <c r="G12" s="53">
        <v>719</v>
      </c>
      <c r="H12" s="310" t="s">
        <v>67</v>
      </c>
      <c r="I12" s="312">
        <v>45825</v>
      </c>
      <c r="J12" s="314" t="s">
        <v>68</v>
      </c>
      <c r="K12" s="318" t="s">
        <v>69</v>
      </c>
      <c r="L12" s="318" t="s">
        <v>5</v>
      </c>
      <c r="M12" s="320">
        <v>46252500</v>
      </c>
      <c r="N12" s="53">
        <v>719</v>
      </c>
      <c r="O12" s="54"/>
    </row>
    <row r="13" spans="1:15" ht="14.25" customHeight="1" thickBot="1" x14ac:dyDescent="0.3">
      <c r="A13" s="319"/>
      <c r="B13" s="361"/>
      <c r="C13" s="396"/>
      <c r="D13" s="319"/>
      <c r="E13" s="319"/>
      <c r="F13" s="321"/>
      <c r="G13" s="55">
        <v>721</v>
      </c>
      <c r="H13" s="311"/>
      <c r="I13" s="313"/>
      <c r="J13" s="315"/>
      <c r="K13" s="319"/>
      <c r="L13" s="319"/>
      <c r="M13" s="321"/>
      <c r="N13" s="55">
        <v>723</v>
      </c>
      <c r="O13" s="56">
        <f>+M12-O12</f>
        <v>46252500</v>
      </c>
    </row>
    <row r="14" spans="1:15" ht="12.75" customHeight="1" x14ac:dyDescent="0.25">
      <c r="A14" s="318">
        <f>+A12+1</f>
        <v>238</v>
      </c>
      <c r="B14" s="312">
        <v>42228</v>
      </c>
      <c r="C14" s="385" t="s">
        <v>70</v>
      </c>
      <c r="D14" s="318" t="s">
        <v>71</v>
      </c>
      <c r="E14" s="318" t="s">
        <v>66</v>
      </c>
      <c r="F14" s="320">
        <v>90000</v>
      </c>
      <c r="G14" s="53">
        <v>719</v>
      </c>
      <c r="H14" s="310" t="s">
        <v>72</v>
      </c>
      <c r="I14" s="312">
        <v>45825</v>
      </c>
      <c r="J14" s="314" t="s">
        <v>73</v>
      </c>
      <c r="K14" s="318" t="s">
        <v>69</v>
      </c>
      <c r="L14" s="318" t="s">
        <v>5</v>
      </c>
      <c r="M14" s="320">
        <v>14875000</v>
      </c>
      <c r="N14" s="53">
        <v>719</v>
      </c>
      <c r="O14" s="54"/>
    </row>
    <row r="15" spans="1:15" ht="14.25" customHeight="1" thickBot="1" x14ac:dyDescent="0.3">
      <c r="A15" s="319"/>
      <c r="B15" s="313"/>
      <c r="C15" s="386"/>
      <c r="D15" s="319"/>
      <c r="E15" s="319"/>
      <c r="F15" s="321"/>
      <c r="G15" s="55">
        <v>721</v>
      </c>
      <c r="H15" s="311"/>
      <c r="I15" s="313"/>
      <c r="J15" s="315"/>
      <c r="K15" s="319"/>
      <c r="L15" s="319"/>
      <c r="M15" s="321"/>
      <c r="N15" s="55">
        <v>723</v>
      </c>
      <c r="O15" s="56">
        <f>+M14-O14</f>
        <v>14875000</v>
      </c>
    </row>
    <row r="16" spans="1:15" ht="14.25" customHeight="1" x14ac:dyDescent="0.25">
      <c r="A16" s="57"/>
      <c r="B16" s="58"/>
      <c r="C16" s="59"/>
      <c r="D16" s="57"/>
      <c r="E16" s="57"/>
      <c r="F16" s="60"/>
      <c r="G16" s="61"/>
      <c r="H16" s="310" t="s">
        <v>74</v>
      </c>
      <c r="I16" s="312">
        <v>45825</v>
      </c>
      <c r="J16" s="314" t="s">
        <v>75</v>
      </c>
      <c r="K16" s="318" t="s">
        <v>69</v>
      </c>
      <c r="L16" s="318" t="s">
        <v>5</v>
      </c>
      <c r="M16" s="320">
        <v>27916900</v>
      </c>
      <c r="N16" s="53">
        <v>719</v>
      </c>
      <c r="O16" s="54"/>
    </row>
    <row r="17" spans="1:15" ht="14.25" customHeight="1" thickBot="1" x14ac:dyDescent="0.3">
      <c r="A17" s="57"/>
      <c r="B17" s="58"/>
      <c r="C17" s="59"/>
      <c r="D17" s="57"/>
      <c r="E17" s="57"/>
      <c r="F17" s="60"/>
      <c r="G17" s="61"/>
      <c r="H17" s="311"/>
      <c r="I17" s="313"/>
      <c r="J17" s="315"/>
      <c r="K17" s="319"/>
      <c r="L17" s="319"/>
      <c r="M17" s="321"/>
      <c r="N17" s="55">
        <v>723</v>
      </c>
      <c r="O17" s="56">
        <f>+M16-O16</f>
        <v>27916900</v>
      </c>
    </row>
    <row r="18" spans="1:15" ht="12.75" customHeight="1" x14ac:dyDescent="0.25">
      <c r="A18" s="318"/>
      <c r="B18" s="312"/>
      <c r="C18" s="385"/>
      <c r="D18" s="318"/>
      <c r="E18" s="318"/>
      <c r="F18" s="320"/>
      <c r="G18" s="53">
        <v>719</v>
      </c>
      <c r="H18" s="310" t="s">
        <v>76</v>
      </c>
      <c r="I18" s="312">
        <v>45825</v>
      </c>
      <c r="J18" s="314" t="s">
        <v>77</v>
      </c>
      <c r="K18" s="318" t="s">
        <v>69</v>
      </c>
      <c r="L18" s="318" t="s">
        <v>5</v>
      </c>
      <c r="M18" s="320">
        <v>21521960</v>
      </c>
      <c r="N18" s="53">
        <v>719</v>
      </c>
      <c r="O18" s="54"/>
    </row>
    <row r="19" spans="1:15" ht="12.75" customHeight="1" thickBot="1" x14ac:dyDescent="0.3">
      <c r="A19" s="319"/>
      <c r="B19" s="361"/>
      <c r="C19" s="386"/>
      <c r="D19" s="319"/>
      <c r="E19" s="319"/>
      <c r="F19" s="321"/>
      <c r="G19" s="55">
        <v>721</v>
      </c>
      <c r="H19" s="311"/>
      <c r="I19" s="313"/>
      <c r="J19" s="315"/>
      <c r="K19" s="319"/>
      <c r="L19" s="319"/>
      <c r="M19" s="321"/>
      <c r="N19" s="55">
        <v>723</v>
      </c>
      <c r="O19" s="56">
        <f>+M18-O18</f>
        <v>21521960</v>
      </c>
    </row>
    <row r="20" spans="1:15" x14ac:dyDescent="0.25">
      <c r="A20" s="318"/>
      <c r="B20" s="312"/>
      <c r="C20" s="385"/>
      <c r="D20" s="314"/>
      <c r="E20" s="318"/>
      <c r="F20" s="320"/>
      <c r="G20" s="53">
        <v>719</v>
      </c>
      <c r="H20" s="310" t="s">
        <v>78</v>
      </c>
      <c r="I20" s="312">
        <v>45825</v>
      </c>
      <c r="J20" s="314" t="s">
        <v>79</v>
      </c>
      <c r="K20" s="318" t="s">
        <v>69</v>
      </c>
      <c r="L20" s="318" t="s">
        <v>5</v>
      </c>
      <c r="M20" s="320">
        <v>1920000</v>
      </c>
      <c r="N20" s="53">
        <v>719</v>
      </c>
      <c r="O20" s="54"/>
    </row>
    <row r="21" spans="1:15" ht="15.75" thickBot="1" x14ac:dyDescent="0.3">
      <c r="A21" s="319"/>
      <c r="B21" s="361"/>
      <c r="C21" s="386"/>
      <c r="D21" s="315"/>
      <c r="E21" s="319"/>
      <c r="F21" s="321"/>
      <c r="G21" s="55">
        <v>721</v>
      </c>
      <c r="H21" s="311"/>
      <c r="I21" s="313"/>
      <c r="J21" s="315"/>
      <c r="K21" s="319"/>
      <c r="L21" s="319"/>
      <c r="M21" s="321"/>
      <c r="N21" s="55">
        <v>723</v>
      </c>
      <c r="O21" s="56">
        <f>+M20-O20</f>
        <v>1920000</v>
      </c>
    </row>
    <row r="22" spans="1:15" ht="18" customHeight="1" thickBot="1" x14ac:dyDescent="0.3">
      <c r="A22" s="297" t="s">
        <v>80</v>
      </c>
      <c r="B22" s="298"/>
      <c r="C22" s="298"/>
      <c r="D22" s="298"/>
      <c r="E22" s="299"/>
      <c r="F22" s="62">
        <f>SUM(F12:F21)</f>
        <v>210000</v>
      </c>
      <c r="H22" s="297" t="s">
        <v>80</v>
      </c>
      <c r="I22" s="298"/>
      <c r="J22" s="298"/>
      <c r="K22" s="298"/>
      <c r="L22" s="299"/>
      <c r="M22" s="62">
        <f>SUM(M12:M21)</f>
        <v>112486360</v>
      </c>
    </row>
    <row r="23" spans="1:15" ht="15.75" customHeight="1" thickBot="1" x14ac:dyDescent="0.3">
      <c r="A23" s="300" t="s">
        <v>81</v>
      </c>
      <c r="B23" s="301"/>
      <c r="C23" s="301"/>
      <c r="D23" s="301"/>
      <c r="E23" s="302"/>
      <c r="F23" s="63">
        <f>+C37</f>
        <v>610857841</v>
      </c>
      <c r="H23" s="300" t="s">
        <v>81</v>
      </c>
      <c r="I23" s="301"/>
      <c r="J23" s="301"/>
      <c r="K23" s="301"/>
      <c r="L23" s="302"/>
      <c r="M23" s="63">
        <v>17057500</v>
      </c>
      <c r="N23" s="64" t="s">
        <v>82</v>
      </c>
      <c r="O23" s="65"/>
    </row>
    <row r="24" spans="1:15" ht="16.5" thickBot="1" x14ac:dyDescent="0.3">
      <c r="A24" s="303" t="s">
        <v>83</v>
      </c>
      <c r="B24" s="304"/>
      <c r="C24" s="304"/>
      <c r="D24" s="304"/>
      <c r="E24" s="305"/>
      <c r="F24" s="66">
        <f>SUM(F22:F23)</f>
        <v>611067841</v>
      </c>
      <c r="H24" s="303" t="s">
        <v>83</v>
      </c>
      <c r="I24" s="304"/>
      <c r="J24" s="304"/>
      <c r="K24" s="304"/>
      <c r="L24" s="305"/>
      <c r="M24" s="66">
        <f>SUM(M22:M23)</f>
        <v>129543860</v>
      </c>
    </row>
    <row r="25" spans="1:15" ht="6" customHeight="1" x14ac:dyDescent="0.25">
      <c r="A25" s="67"/>
      <c r="B25" s="67"/>
      <c r="C25" s="67"/>
      <c r="D25" s="67"/>
      <c r="E25" s="67"/>
      <c r="H25" s="67"/>
      <c r="I25" s="67"/>
      <c r="J25" s="67"/>
      <c r="K25" s="67"/>
      <c r="L25" s="67"/>
    </row>
    <row r="26" spans="1:15" ht="16.5" customHeight="1" x14ac:dyDescent="0.25">
      <c r="A26" s="41" t="s">
        <v>84</v>
      </c>
      <c r="H26" s="41" t="s">
        <v>85</v>
      </c>
    </row>
    <row r="27" spans="1:15" ht="5.25" customHeight="1" x14ac:dyDescent="0.25">
      <c r="F27" s="68"/>
      <c r="M27" s="68"/>
    </row>
    <row r="28" spans="1:15" ht="15" customHeight="1" x14ac:dyDescent="0.25">
      <c r="A28" s="40" t="s">
        <v>86</v>
      </c>
      <c r="D28" s="69"/>
      <c r="F28" s="68"/>
      <c r="H28" s="40" t="s">
        <v>86</v>
      </c>
      <c r="K28" s="69"/>
      <c r="M28" s="68"/>
    </row>
    <row r="29" spans="1:15" ht="9.75" customHeight="1" thickBot="1" x14ac:dyDescent="0.3"/>
    <row r="30" spans="1:15" ht="15.75" thickBot="1" x14ac:dyDescent="0.3">
      <c r="A30" s="306" t="s">
        <v>87</v>
      </c>
      <c r="B30" s="307"/>
      <c r="C30" s="307"/>
      <c r="D30" s="308"/>
      <c r="F30" s="40" t="s">
        <v>88</v>
      </c>
      <c r="H30" s="306" t="s">
        <v>87</v>
      </c>
      <c r="I30" s="307"/>
      <c r="J30" s="307"/>
      <c r="K30" s="308"/>
      <c r="M30" s="40" t="s">
        <v>89</v>
      </c>
    </row>
    <row r="31" spans="1:15" ht="34.5" customHeight="1" thickBot="1" x14ac:dyDescent="0.3">
      <c r="A31" s="70" t="s">
        <v>62</v>
      </c>
      <c r="B31" s="71" t="s">
        <v>90</v>
      </c>
      <c r="C31" s="72" t="s">
        <v>91</v>
      </c>
      <c r="D31" s="73" t="s">
        <v>92</v>
      </c>
      <c r="H31" s="70" t="s">
        <v>62</v>
      </c>
      <c r="I31" s="71" t="s">
        <v>90</v>
      </c>
      <c r="J31" s="74" t="s">
        <v>91</v>
      </c>
      <c r="K31" s="73" t="s">
        <v>92</v>
      </c>
    </row>
    <row r="32" spans="1:15" ht="13.5" customHeight="1" x14ac:dyDescent="0.25">
      <c r="A32" s="75">
        <v>719</v>
      </c>
      <c r="B32" s="76">
        <v>210000</v>
      </c>
      <c r="C32" s="77">
        <v>28120000</v>
      </c>
      <c r="D32" s="78">
        <f>+B32+C32</f>
        <v>28330000</v>
      </c>
      <c r="H32" s="75">
        <v>719</v>
      </c>
      <c r="I32" s="76">
        <f>+O12+O14+O18+O20</f>
        <v>0</v>
      </c>
      <c r="J32" s="77">
        <v>12720000</v>
      </c>
      <c r="K32" s="79">
        <f>+I32+J32</f>
        <v>12720000</v>
      </c>
    </row>
    <row r="33" spans="1:15" ht="13.5" customHeight="1" x14ac:dyDescent="0.25">
      <c r="A33" s="80">
        <v>721</v>
      </c>
      <c r="B33" s="81"/>
      <c r="C33" s="82">
        <v>36156092</v>
      </c>
      <c r="D33" s="78">
        <f>+B33+C33</f>
        <v>36156092</v>
      </c>
      <c r="H33" s="80">
        <v>721</v>
      </c>
      <c r="I33" s="81"/>
      <c r="J33" s="77">
        <v>1505000</v>
      </c>
      <c r="K33" s="79">
        <f>+I33+J33</f>
        <v>1505000</v>
      </c>
    </row>
    <row r="34" spans="1:15" ht="12.75" customHeight="1" x14ac:dyDescent="0.25">
      <c r="A34" s="80">
        <v>722</v>
      </c>
      <c r="B34" s="81"/>
      <c r="C34" s="82">
        <v>224787287</v>
      </c>
      <c r="D34" s="78">
        <f>+B34+C34</f>
        <v>224787287</v>
      </c>
      <c r="H34" s="80">
        <v>722</v>
      </c>
      <c r="I34" s="81"/>
      <c r="J34" s="77">
        <v>0</v>
      </c>
      <c r="K34" s="79">
        <f>+I34+J34</f>
        <v>0</v>
      </c>
    </row>
    <row r="35" spans="1:15" ht="13.5" customHeight="1" thickBot="1" x14ac:dyDescent="0.3">
      <c r="A35" s="80">
        <v>723</v>
      </c>
      <c r="B35" s="81"/>
      <c r="C35" s="82">
        <v>319828837</v>
      </c>
      <c r="D35" s="78">
        <f>+B35+C35</f>
        <v>319828837</v>
      </c>
      <c r="F35" s="83" t="s">
        <v>93</v>
      </c>
      <c r="G35" s="84"/>
      <c r="H35" s="80">
        <v>723</v>
      </c>
      <c r="I35" s="81">
        <f>+O13+O15+O19+O21+O17</f>
        <v>112486360</v>
      </c>
      <c r="J35" s="77">
        <v>2832500</v>
      </c>
      <c r="K35" s="79">
        <f>+I35+J35</f>
        <v>115318860</v>
      </c>
      <c r="M35" s="343"/>
      <c r="N35" s="275"/>
      <c r="O35" s="275"/>
    </row>
    <row r="36" spans="1:15" ht="14.25" hidden="1" customHeight="1" x14ac:dyDescent="0.25">
      <c r="A36" s="85" t="s">
        <v>94</v>
      </c>
      <c r="B36" s="86"/>
      <c r="C36" s="87">
        <v>1965625</v>
      </c>
      <c r="D36" s="88">
        <f>+B36+C36</f>
        <v>1965625</v>
      </c>
      <c r="F36" s="45"/>
      <c r="H36" s="85" t="s">
        <v>94</v>
      </c>
      <c r="I36" s="86"/>
      <c r="J36" s="77">
        <v>0</v>
      </c>
      <c r="K36" s="89">
        <f>+I36+J36</f>
        <v>0</v>
      </c>
      <c r="M36" s="45"/>
    </row>
    <row r="37" spans="1:15" ht="16.5" thickBot="1" x14ac:dyDescent="0.3">
      <c r="A37" s="90"/>
      <c r="B37" s="91">
        <f>SUM(B32:B36)</f>
        <v>210000</v>
      </c>
      <c r="C37" s="92">
        <f>SUM(C32:C36)</f>
        <v>610857841</v>
      </c>
      <c r="D37" s="93">
        <f>SUM(D32:D36)</f>
        <v>611067841</v>
      </c>
      <c r="H37" s="90"/>
      <c r="I37" s="94">
        <f>SUM(I32:I36)</f>
        <v>112486360</v>
      </c>
      <c r="J37" s="94">
        <f>SUM(J32:J36)</f>
        <v>17057500</v>
      </c>
      <c r="K37" s="95">
        <f>SUM(K32:K36)</f>
        <v>129543860</v>
      </c>
    </row>
    <row r="38" spans="1:15" ht="16.5" x14ac:dyDescent="0.25">
      <c r="A38" s="39" t="s">
        <v>46</v>
      </c>
      <c r="B38" s="40"/>
      <c r="H38" s="39" t="s">
        <v>46</v>
      </c>
      <c r="I38" s="40"/>
    </row>
    <row r="39" spans="1:15" ht="13.5" customHeight="1" x14ac:dyDescent="0.25">
      <c r="A39" s="41" t="s">
        <v>47</v>
      </c>
      <c r="H39" s="41" t="s">
        <v>47</v>
      </c>
    </row>
    <row r="40" spans="1:15" ht="14.25" customHeight="1" x14ac:dyDescent="0.25">
      <c r="A40" s="41" t="s">
        <v>48</v>
      </c>
      <c r="H40" s="41" t="s">
        <v>48</v>
      </c>
    </row>
    <row r="41" spans="1:15" ht="14.25" customHeight="1" x14ac:dyDescent="0.25">
      <c r="A41" s="41" t="s">
        <v>49</v>
      </c>
      <c r="H41" s="41" t="s">
        <v>49</v>
      </c>
    </row>
    <row r="42" spans="1:15" ht="6" customHeight="1" x14ac:dyDescent="0.25">
      <c r="A42" s="40"/>
      <c r="B42" s="40"/>
      <c r="H42" s="40"/>
      <c r="I42" s="40"/>
    </row>
    <row r="43" spans="1:15" ht="16.5" customHeight="1" x14ac:dyDescent="0.25">
      <c r="A43" s="45" t="s">
        <v>95</v>
      </c>
      <c r="G43" s="45"/>
      <c r="H43" s="45" t="s">
        <v>96</v>
      </c>
      <c r="N43" s="45"/>
    </row>
    <row r="44" spans="1:15" ht="15.75" customHeight="1" x14ac:dyDescent="0.25">
      <c r="A44" s="47" t="s">
        <v>52</v>
      </c>
      <c r="G44" s="47"/>
      <c r="H44" s="47" t="s">
        <v>97</v>
      </c>
      <c r="N44" s="47"/>
    </row>
    <row r="45" spans="1:15" ht="15.75" customHeight="1" x14ac:dyDescent="0.25">
      <c r="A45" s="326" t="s">
        <v>54</v>
      </c>
      <c r="B45" s="326"/>
      <c r="C45" s="326"/>
      <c r="D45" s="326"/>
      <c r="E45" s="326"/>
      <c r="F45" s="326"/>
      <c r="G45" s="326"/>
      <c r="H45" s="326" t="s">
        <v>55</v>
      </c>
      <c r="I45" s="326"/>
      <c r="J45" s="326"/>
      <c r="K45" s="326"/>
      <c r="L45" s="326"/>
      <c r="M45" s="326"/>
      <c r="N45" s="326"/>
      <c r="O45" s="326"/>
    </row>
    <row r="46" spans="1:15" ht="12" customHeight="1" thickBot="1" x14ac:dyDescent="0.3"/>
    <row r="47" spans="1:15" x14ac:dyDescent="0.25">
      <c r="A47" s="327" t="s">
        <v>56</v>
      </c>
      <c r="B47" s="322" t="s">
        <v>57</v>
      </c>
      <c r="C47" s="322" t="s">
        <v>58</v>
      </c>
      <c r="D47" s="322" t="s">
        <v>7</v>
      </c>
      <c r="E47" s="322" t="s">
        <v>59</v>
      </c>
      <c r="F47" s="322" t="s">
        <v>60</v>
      </c>
      <c r="G47" s="50" t="s">
        <v>61</v>
      </c>
      <c r="H47" s="327" t="s">
        <v>56</v>
      </c>
      <c r="I47" s="322" t="s">
        <v>57</v>
      </c>
      <c r="J47" s="322" t="s">
        <v>58</v>
      </c>
      <c r="K47" s="322" t="s">
        <v>7</v>
      </c>
      <c r="L47" s="322" t="s">
        <v>59</v>
      </c>
      <c r="M47" s="322" t="s">
        <v>60</v>
      </c>
      <c r="N47" s="322" t="s">
        <v>61</v>
      </c>
      <c r="O47" s="324"/>
    </row>
    <row r="48" spans="1:15" ht="15.75" thickBot="1" x14ac:dyDescent="0.3">
      <c r="A48" s="328"/>
      <c r="B48" s="323"/>
      <c r="C48" s="323"/>
      <c r="D48" s="323"/>
      <c r="E48" s="323"/>
      <c r="F48" s="323"/>
      <c r="G48" s="51" t="s">
        <v>62</v>
      </c>
      <c r="H48" s="328"/>
      <c r="I48" s="323"/>
      <c r="J48" s="323"/>
      <c r="K48" s="323"/>
      <c r="L48" s="323"/>
      <c r="M48" s="323"/>
      <c r="N48" s="51" t="s">
        <v>62</v>
      </c>
      <c r="O48" s="52" t="s">
        <v>63</v>
      </c>
    </row>
    <row r="49" spans="1:15" ht="13.5" customHeight="1" x14ac:dyDescent="0.25">
      <c r="A49" s="318">
        <f>+A14+1</f>
        <v>239</v>
      </c>
      <c r="B49" s="312">
        <v>42240</v>
      </c>
      <c r="C49" s="385" t="s">
        <v>70</v>
      </c>
      <c r="D49" s="318" t="s">
        <v>98</v>
      </c>
      <c r="E49" s="318" t="s">
        <v>66</v>
      </c>
      <c r="F49" s="320">
        <v>60000</v>
      </c>
      <c r="G49" s="53">
        <v>719</v>
      </c>
      <c r="H49" s="310" t="s">
        <v>99</v>
      </c>
      <c r="I49" s="312">
        <v>45825</v>
      </c>
      <c r="J49" s="314" t="s">
        <v>100</v>
      </c>
      <c r="K49" s="318" t="s">
        <v>69</v>
      </c>
      <c r="L49" s="318" t="s">
        <v>5</v>
      </c>
      <c r="M49" s="320">
        <v>6000000</v>
      </c>
      <c r="N49" s="53">
        <v>719</v>
      </c>
      <c r="O49" s="54"/>
    </row>
    <row r="50" spans="1:15" ht="12.75" customHeight="1" thickBot="1" x14ac:dyDescent="0.3">
      <c r="A50" s="319"/>
      <c r="B50" s="361"/>
      <c r="C50" s="386"/>
      <c r="D50" s="319"/>
      <c r="E50" s="319"/>
      <c r="F50" s="321"/>
      <c r="G50" s="55">
        <v>721</v>
      </c>
      <c r="H50" s="311"/>
      <c r="I50" s="313"/>
      <c r="J50" s="315"/>
      <c r="K50" s="319"/>
      <c r="L50" s="319"/>
      <c r="M50" s="321"/>
      <c r="N50" s="55">
        <v>723</v>
      </c>
      <c r="O50" s="56">
        <f>+M49-O49</f>
        <v>6000000</v>
      </c>
    </row>
    <row r="51" spans="1:15" ht="12" customHeight="1" x14ac:dyDescent="0.25">
      <c r="A51" s="318">
        <f>+A49+1</f>
        <v>240</v>
      </c>
      <c r="B51" s="312">
        <v>42240</v>
      </c>
      <c r="C51" s="395" t="s">
        <v>64</v>
      </c>
      <c r="D51" s="318" t="s">
        <v>101</v>
      </c>
      <c r="E51" s="318" t="s">
        <v>66</v>
      </c>
      <c r="F51" s="320">
        <v>140000</v>
      </c>
      <c r="G51" s="53">
        <v>719</v>
      </c>
      <c r="H51" s="310" t="s">
        <v>102</v>
      </c>
      <c r="I51" s="312">
        <v>45825</v>
      </c>
      <c r="J51" s="314" t="s">
        <v>103</v>
      </c>
      <c r="K51" s="318" t="s">
        <v>69</v>
      </c>
      <c r="L51" s="318" t="s">
        <v>5</v>
      </c>
      <c r="M51" s="320">
        <v>1500000</v>
      </c>
      <c r="N51" s="53">
        <v>719</v>
      </c>
      <c r="O51" s="54"/>
    </row>
    <row r="52" spans="1:15" ht="15" customHeight="1" thickBot="1" x14ac:dyDescent="0.3">
      <c r="A52" s="319"/>
      <c r="B52" s="361"/>
      <c r="C52" s="396"/>
      <c r="D52" s="319"/>
      <c r="E52" s="319"/>
      <c r="F52" s="321"/>
      <c r="G52" s="55">
        <v>721</v>
      </c>
      <c r="H52" s="311"/>
      <c r="I52" s="313"/>
      <c r="J52" s="315"/>
      <c r="K52" s="319"/>
      <c r="L52" s="319"/>
      <c r="M52" s="321"/>
      <c r="N52" s="55">
        <v>723</v>
      </c>
      <c r="O52" s="56">
        <f>+M51-O51</f>
        <v>1500000</v>
      </c>
    </row>
    <row r="53" spans="1:15" ht="13.5" customHeight="1" x14ac:dyDescent="0.25">
      <c r="A53" s="57"/>
      <c r="B53" s="96"/>
      <c r="C53" s="97"/>
      <c r="D53" s="57"/>
      <c r="E53" s="57"/>
      <c r="F53" s="60"/>
      <c r="G53" s="61"/>
      <c r="H53" s="310" t="s">
        <v>104</v>
      </c>
      <c r="I53" s="312">
        <v>45825</v>
      </c>
      <c r="J53" s="335" t="s">
        <v>105</v>
      </c>
      <c r="K53" s="318" t="s">
        <v>69</v>
      </c>
      <c r="L53" s="318" t="s">
        <v>5</v>
      </c>
      <c r="M53" s="320">
        <v>7139940</v>
      </c>
      <c r="N53" s="53">
        <v>719</v>
      </c>
      <c r="O53" s="54"/>
    </row>
    <row r="54" spans="1:15" ht="12.75" customHeight="1" thickBot="1" x14ac:dyDescent="0.3">
      <c r="A54" s="57"/>
      <c r="B54" s="96"/>
      <c r="C54" s="97"/>
      <c r="D54" s="57"/>
      <c r="E54" s="57"/>
      <c r="F54" s="60"/>
      <c r="G54" s="61"/>
      <c r="H54" s="311"/>
      <c r="I54" s="313"/>
      <c r="J54" s="336"/>
      <c r="K54" s="319"/>
      <c r="L54" s="319"/>
      <c r="M54" s="321"/>
      <c r="N54" s="55">
        <v>723</v>
      </c>
      <c r="O54" s="56">
        <f>+M53-O53</f>
        <v>7139940</v>
      </c>
    </row>
    <row r="55" spans="1:15" ht="12" customHeight="1" x14ac:dyDescent="0.25">
      <c r="A55" s="318">
        <f>+A51+1</f>
        <v>241</v>
      </c>
      <c r="B55" s="312">
        <v>42240</v>
      </c>
      <c r="C55" s="395" t="s">
        <v>106</v>
      </c>
      <c r="D55" s="318" t="s">
        <v>107</v>
      </c>
      <c r="E55" s="318" t="s">
        <v>66</v>
      </c>
      <c r="F55" s="320">
        <v>50000</v>
      </c>
      <c r="G55" s="53">
        <v>719</v>
      </c>
      <c r="H55" s="310" t="s">
        <v>108</v>
      </c>
      <c r="I55" s="312">
        <v>45825</v>
      </c>
      <c r="J55" s="397" t="s">
        <v>109</v>
      </c>
      <c r="K55" s="318" t="s">
        <v>69</v>
      </c>
      <c r="L55" s="401" t="s">
        <v>5</v>
      </c>
      <c r="M55" s="399">
        <v>1463000</v>
      </c>
      <c r="N55" s="53">
        <v>719</v>
      </c>
      <c r="O55" s="54"/>
    </row>
    <row r="56" spans="1:15" ht="15" customHeight="1" thickBot="1" x14ac:dyDescent="0.3">
      <c r="A56" s="319"/>
      <c r="B56" s="361"/>
      <c r="C56" s="396"/>
      <c r="D56" s="319"/>
      <c r="E56" s="319"/>
      <c r="F56" s="321"/>
      <c r="G56" s="55">
        <v>721</v>
      </c>
      <c r="H56" s="311"/>
      <c r="I56" s="313"/>
      <c r="J56" s="398"/>
      <c r="K56" s="319"/>
      <c r="L56" s="402"/>
      <c r="M56" s="400"/>
      <c r="N56" s="55">
        <v>723</v>
      </c>
      <c r="O56" s="56">
        <f>+M55-O55</f>
        <v>1463000</v>
      </c>
    </row>
    <row r="57" spans="1:15" ht="12" customHeight="1" x14ac:dyDescent="0.25">
      <c r="A57" s="318"/>
      <c r="B57" s="312"/>
      <c r="C57" s="385"/>
      <c r="D57" s="314"/>
      <c r="E57" s="318"/>
      <c r="F57" s="320"/>
      <c r="G57" s="53">
        <v>719</v>
      </c>
      <c r="H57" s="310" t="s">
        <v>110</v>
      </c>
      <c r="I57" s="312">
        <v>45825</v>
      </c>
      <c r="J57" s="335" t="s">
        <v>111</v>
      </c>
      <c r="K57" s="318" t="s">
        <v>69</v>
      </c>
      <c r="L57" s="318" t="s">
        <v>5</v>
      </c>
      <c r="M57" s="320">
        <v>25661500</v>
      </c>
      <c r="N57" s="53">
        <v>719</v>
      </c>
      <c r="O57" s="54"/>
    </row>
    <row r="58" spans="1:15" ht="12.75" customHeight="1" thickBot="1" x14ac:dyDescent="0.3">
      <c r="A58" s="319"/>
      <c r="B58" s="361"/>
      <c r="C58" s="386"/>
      <c r="D58" s="315"/>
      <c r="E58" s="319"/>
      <c r="F58" s="321"/>
      <c r="G58" s="55">
        <v>721</v>
      </c>
      <c r="H58" s="311"/>
      <c r="I58" s="313"/>
      <c r="J58" s="336"/>
      <c r="K58" s="319"/>
      <c r="L58" s="319"/>
      <c r="M58" s="321"/>
      <c r="N58" s="55">
        <v>723</v>
      </c>
      <c r="O58" s="56">
        <f>+M57</f>
        <v>25661500</v>
      </c>
    </row>
    <row r="59" spans="1:15" ht="15.75" customHeight="1" thickBot="1" x14ac:dyDescent="0.3">
      <c r="A59" s="297" t="s">
        <v>80</v>
      </c>
      <c r="B59" s="298"/>
      <c r="C59" s="298"/>
      <c r="D59" s="298"/>
      <c r="E59" s="299"/>
      <c r="F59" s="62">
        <f>SUM(F49:F58)</f>
        <v>250000</v>
      </c>
      <c r="H59" s="297" t="s">
        <v>80</v>
      </c>
      <c r="I59" s="298"/>
      <c r="J59" s="298"/>
      <c r="K59" s="298"/>
      <c r="L59" s="299"/>
      <c r="M59" s="62">
        <f>SUM(M49:M58)</f>
        <v>41764440</v>
      </c>
    </row>
    <row r="60" spans="1:15" ht="16.5" thickBot="1" x14ac:dyDescent="0.3">
      <c r="A60" s="300" t="s">
        <v>81</v>
      </c>
      <c r="B60" s="301"/>
      <c r="C60" s="301"/>
      <c r="D60" s="301"/>
      <c r="E60" s="302"/>
      <c r="F60" s="63">
        <f>+C74</f>
        <v>611067841</v>
      </c>
      <c r="H60" s="300" t="s">
        <v>81</v>
      </c>
      <c r="I60" s="301"/>
      <c r="J60" s="301"/>
      <c r="K60" s="301"/>
      <c r="L60" s="302"/>
      <c r="M60" s="63">
        <f>+M24</f>
        <v>129543860</v>
      </c>
      <c r="N60" s="64" t="s">
        <v>82</v>
      </c>
      <c r="O60" s="65"/>
    </row>
    <row r="61" spans="1:15" ht="15" customHeight="1" thickBot="1" x14ac:dyDescent="0.3">
      <c r="A61" s="303" t="s">
        <v>83</v>
      </c>
      <c r="B61" s="304"/>
      <c r="C61" s="304"/>
      <c r="D61" s="304"/>
      <c r="E61" s="305"/>
      <c r="F61" s="66">
        <f>SUM(F59:F60)</f>
        <v>611317841</v>
      </c>
      <c r="H61" s="303" t="s">
        <v>83</v>
      </c>
      <c r="I61" s="304"/>
      <c r="J61" s="304"/>
      <c r="K61" s="304"/>
      <c r="L61" s="305"/>
      <c r="M61" s="66">
        <f>SUM(M59:M60)</f>
        <v>171308300</v>
      </c>
    </row>
    <row r="62" spans="1:15" ht="8.25" customHeight="1" x14ac:dyDescent="0.25">
      <c r="A62" s="67"/>
      <c r="B62" s="67"/>
      <c r="C62" s="67"/>
      <c r="D62" s="67"/>
      <c r="E62" s="67"/>
      <c r="H62" s="67"/>
      <c r="I62" s="67"/>
      <c r="J62" s="67"/>
      <c r="K62" s="67"/>
      <c r="L62" s="67"/>
    </row>
    <row r="63" spans="1:15" x14ac:dyDescent="0.25">
      <c r="A63" s="41" t="s">
        <v>112</v>
      </c>
      <c r="H63" s="41" t="s">
        <v>113</v>
      </c>
    </row>
    <row r="64" spans="1:15" ht="7.5" customHeight="1" x14ac:dyDescent="0.25">
      <c r="F64" s="68"/>
      <c r="M64" s="68"/>
    </row>
    <row r="65" spans="1:15" x14ac:dyDescent="0.25">
      <c r="A65" s="40" t="s">
        <v>86</v>
      </c>
      <c r="D65" s="69"/>
      <c r="F65" s="68"/>
      <c r="H65" s="40" t="s">
        <v>86</v>
      </c>
      <c r="K65" s="69"/>
      <c r="M65" s="68"/>
    </row>
    <row r="66" spans="1:15" ht="7.5" customHeight="1" thickBot="1" x14ac:dyDescent="0.3"/>
    <row r="67" spans="1:15" ht="15.75" thickBot="1" x14ac:dyDescent="0.3">
      <c r="A67" s="306" t="s">
        <v>87</v>
      </c>
      <c r="B67" s="307"/>
      <c r="C67" s="307"/>
      <c r="D67" s="308"/>
      <c r="F67" s="40" t="s">
        <v>88</v>
      </c>
      <c r="H67" s="306" t="s">
        <v>87</v>
      </c>
      <c r="I67" s="307"/>
      <c r="J67" s="307"/>
      <c r="K67" s="308"/>
      <c r="M67" s="40" t="s">
        <v>89</v>
      </c>
    </row>
    <row r="68" spans="1:15" ht="28.5" customHeight="1" thickBot="1" x14ac:dyDescent="0.3">
      <c r="A68" s="70" t="s">
        <v>62</v>
      </c>
      <c r="B68" s="71" t="s">
        <v>90</v>
      </c>
      <c r="C68" s="72" t="s">
        <v>91</v>
      </c>
      <c r="D68" s="73" t="s">
        <v>92</v>
      </c>
      <c r="H68" s="70" t="s">
        <v>62</v>
      </c>
      <c r="I68" s="71" t="s">
        <v>90</v>
      </c>
      <c r="J68" s="98" t="s">
        <v>91</v>
      </c>
      <c r="K68" s="73" t="s">
        <v>92</v>
      </c>
    </row>
    <row r="69" spans="1:15" ht="14.25" customHeight="1" x14ac:dyDescent="0.25">
      <c r="A69" s="75">
        <v>719</v>
      </c>
      <c r="B69" s="76" t="e">
        <f>+#REF!+#REF!+#REF!</f>
        <v>#REF!</v>
      </c>
      <c r="C69" s="77">
        <f>+D32</f>
        <v>28330000</v>
      </c>
      <c r="D69" s="78" t="e">
        <f>+B69+C69</f>
        <v>#REF!</v>
      </c>
      <c r="H69" s="75">
        <v>719</v>
      </c>
      <c r="I69" s="76">
        <f>+O49+O51+O55</f>
        <v>0</v>
      </c>
      <c r="J69" s="77">
        <f>+K32</f>
        <v>12720000</v>
      </c>
      <c r="K69" s="79">
        <f>+I69+J69</f>
        <v>12720000</v>
      </c>
    </row>
    <row r="70" spans="1:15" ht="13.5" customHeight="1" x14ac:dyDescent="0.25">
      <c r="A70" s="80">
        <v>721</v>
      </c>
      <c r="B70" s="81"/>
      <c r="C70" s="77">
        <f>+D33</f>
        <v>36156092</v>
      </c>
      <c r="D70" s="78">
        <f>+B70+C70</f>
        <v>36156092</v>
      </c>
      <c r="H70" s="80">
        <v>721</v>
      </c>
      <c r="I70" s="81"/>
      <c r="J70" s="77">
        <f>+K33</f>
        <v>1505000</v>
      </c>
      <c r="K70" s="79">
        <f>+I70+J70</f>
        <v>1505000</v>
      </c>
    </row>
    <row r="71" spans="1:15" ht="12.75" customHeight="1" x14ac:dyDescent="0.25">
      <c r="A71" s="80">
        <v>722</v>
      </c>
      <c r="B71" s="81"/>
      <c r="C71" s="77">
        <f>+D34</f>
        <v>224787287</v>
      </c>
      <c r="D71" s="78">
        <f>+B71+C71</f>
        <v>224787287</v>
      </c>
      <c r="H71" s="80">
        <v>722</v>
      </c>
      <c r="I71" s="81"/>
      <c r="J71" s="77">
        <f>+K34</f>
        <v>0</v>
      </c>
      <c r="K71" s="79">
        <f>+I71+J71</f>
        <v>0</v>
      </c>
    </row>
    <row r="72" spans="1:15" ht="14.25" customHeight="1" thickBot="1" x14ac:dyDescent="0.3">
      <c r="A72" s="80">
        <v>723</v>
      </c>
      <c r="B72" s="81"/>
      <c r="C72" s="77">
        <f>+D35</f>
        <v>319828837</v>
      </c>
      <c r="D72" s="78">
        <f>+B72+C72</f>
        <v>319828837</v>
      </c>
      <c r="F72" s="83" t="s">
        <v>93</v>
      </c>
      <c r="G72" s="84"/>
      <c r="H72" s="80">
        <v>723</v>
      </c>
      <c r="I72" s="81">
        <f>+M59</f>
        <v>41764440</v>
      </c>
      <c r="J72" s="77">
        <f>+K35</f>
        <v>115318860</v>
      </c>
      <c r="K72" s="79">
        <f>+I72+J72</f>
        <v>157083300</v>
      </c>
      <c r="M72" s="343"/>
      <c r="N72" s="275"/>
      <c r="O72" s="275"/>
    </row>
    <row r="73" spans="1:15" ht="14.25" hidden="1" customHeight="1" x14ac:dyDescent="0.25">
      <c r="A73" s="85" t="s">
        <v>94</v>
      </c>
      <c r="B73" s="86"/>
      <c r="C73" s="77">
        <f>+D36</f>
        <v>1965625</v>
      </c>
      <c r="D73" s="88">
        <f>+B73+C73</f>
        <v>1965625</v>
      </c>
      <c r="F73" s="45"/>
      <c r="H73" s="85" t="s">
        <v>94</v>
      </c>
      <c r="I73" s="86"/>
      <c r="J73" s="77">
        <f>+K36</f>
        <v>0</v>
      </c>
      <c r="K73" s="89">
        <f>+I73+J73</f>
        <v>0</v>
      </c>
      <c r="M73" s="45"/>
    </row>
    <row r="74" spans="1:15" ht="16.5" thickBot="1" x14ac:dyDescent="0.3">
      <c r="A74" s="90"/>
      <c r="B74" s="91" t="e">
        <f>SUM(B69:B73)</f>
        <v>#REF!</v>
      </c>
      <c r="C74" s="92">
        <f>SUM(C69:C73)</f>
        <v>611067841</v>
      </c>
      <c r="D74" s="93" t="e">
        <f>SUM(D69:D73)</f>
        <v>#REF!</v>
      </c>
      <c r="H74" s="90"/>
      <c r="I74" s="94">
        <f>SUM(I69:I73)</f>
        <v>41764440</v>
      </c>
      <c r="J74" s="94">
        <f>SUM(J69:J73)</f>
        <v>129543860</v>
      </c>
      <c r="K74" s="95">
        <f>SUM(K69:K73)</f>
        <v>171308300</v>
      </c>
    </row>
    <row r="75" spans="1:15" ht="16.5" x14ac:dyDescent="0.25">
      <c r="A75" s="39" t="s">
        <v>46</v>
      </c>
      <c r="B75" s="40"/>
      <c r="H75" s="39" t="s">
        <v>46</v>
      </c>
      <c r="I75" s="40"/>
    </row>
    <row r="76" spans="1:15" ht="14.25" customHeight="1" x14ac:dyDescent="0.25">
      <c r="A76" s="41" t="s">
        <v>47</v>
      </c>
      <c r="H76" s="41" t="s">
        <v>47</v>
      </c>
    </row>
    <row r="77" spans="1:15" ht="12.75" customHeight="1" x14ac:dyDescent="0.25">
      <c r="A77" s="41" t="s">
        <v>48</v>
      </c>
      <c r="H77" s="41" t="s">
        <v>48</v>
      </c>
    </row>
    <row r="78" spans="1:15" ht="15" customHeight="1" x14ac:dyDescent="0.25">
      <c r="A78" s="41" t="s">
        <v>49</v>
      </c>
      <c r="H78" s="41" t="s">
        <v>49</v>
      </c>
    </row>
    <row r="79" spans="1:15" ht="3" customHeight="1" x14ac:dyDescent="0.25">
      <c r="A79" s="40"/>
      <c r="B79" s="40"/>
      <c r="H79" s="40"/>
      <c r="I79" s="40"/>
    </row>
    <row r="80" spans="1:15" ht="13.5" customHeight="1" x14ac:dyDescent="0.25">
      <c r="A80" s="45" t="s">
        <v>114</v>
      </c>
      <c r="B80" s="40"/>
      <c r="G80" s="45"/>
      <c r="H80" s="45" t="s">
        <v>115</v>
      </c>
      <c r="N80" s="45"/>
    </row>
    <row r="81" spans="1:15" ht="15.75" customHeight="1" x14ac:dyDescent="0.25">
      <c r="A81" s="47" t="s">
        <v>52</v>
      </c>
      <c r="G81" s="47"/>
      <c r="H81" s="47" t="s">
        <v>97</v>
      </c>
      <c r="N81" s="47"/>
    </row>
    <row r="82" spans="1:15" ht="15" customHeight="1" x14ac:dyDescent="0.25">
      <c r="A82" s="326" t="s">
        <v>116</v>
      </c>
      <c r="B82" s="326"/>
      <c r="C82" s="326"/>
      <c r="D82" s="326"/>
      <c r="E82" s="326"/>
      <c r="F82" s="326"/>
      <c r="G82" s="326"/>
      <c r="H82" s="326" t="s">
        <v>55</v>
      </c>
      <c r="I82" s="326"/>
      <c r="J82" s="326"/>
      <c r="K82" s="326"/>
      <c r="L82" s="326"/>
      <c r="M82" s="326"/>
      <c r="N82" s="326"/>
      <c r="O82" s="326"/>
    </row>
    <row r="83" spans="1:15" ht="8.25" customHeight="1" thickBot="1" x14ac:dyDescent="0.3"/>
    <row r="84" spans="1:15" ht="15" customHeight="1" x14ac:dyDescent="0.25">
      <c r="A84" s="327" t="s">
        <v>56</v>
      </c>
      <c r="B84" s="322" t="s">
        <v>57</v>
      </c>
      <c r="C84" s="322" t="s">
        <v>58</v>
      </c>
      <c r="D84" s="322" t="s">
        <v>7</v>
      </c>
      <c r="E84" s="322" t="s">
        <v>59</v>
      </c>
      <c r="F84" s="322" t="s">
        <v>60</v>
      </c>
      <c r="G84" s="50" t="s">
        <v>61</v>
      </c>
      <c r="H84" s="327" t="s">
        <v>56</v>
      </c>
      <c r="I84" s="322" t="s">
        <v>57</v>
      </c>
      <c r="J84" s="322" t="s">
        <v>58</v>
      </c>
      <c r="K84" s="322" t="s">
        <v>7</v>
      </c>
      <c r="L84" s="322" t="s">
        <v>59</v>
      </c>
      <c r="M84" s="322" t="s">
        <v>60</v>
      </c>
      <c r="N84" s="322" t="s">
        <v>61</v>
      </c>
      <c r="O84" s="324"/>
    </row>
    <row r="85" spans="1:15" ht="15.75" customHeight="1" thickBot="1" x14ac:dyDescent="0.3">
      <c r="A85" s="328"/>
      <c r="B85" s="323"/>
      <c r="C85" s="323"/>
      <c r="D85" s="323"/>
      <c r="E85" s="323"/>
      <c r="F85" s="323"/>
      <c r="G85" s="51" t="s">
        <v>62</v>
      </c>
      <c r="H85" s="328"/>
      <c r="I85" s="323"/>
      <c r="J85" s="323"/>
      <c r="K85" s="323"/>
      <c r="L85" s="323"/>
      <c r="M85" s="323"/>
      <c r="N85" s="51" t="s">
        <v>62</v>
      </c>
      <c r="O85" s="52" t="s">
        <v>63</v>
      </c>
    </row>
    <row r="86" spans="1:15" ht="13.5" customHeight="1" x14ac:dyDescent="0.25">
      <c r="A86" s="318">
        <f>+A55+1</f>
        <v>242</v>
      </c>
      <c r="B86" s="312">
        <v>42242</v>
      </c>
      <c r="C86" s="314" t="s">
        <v>117</v>
      </c>
      <c r="D86" s="318" t="s">
        <v>118</v>
      </c>
      <c r="E86" s="318" t="s">
        <v>5</v>
      </c>
      <c r="F86" s="320">
        <v>182000</v>
      </c>
      <c r="G86" s="53">
        <v>719</v>
      </c>
      <c r="H86" s="310" t="s">
        <v>119</v>
      </c>
      <c r="I86" s="312">
        <v>45825</v>
      </c>
      <c r="J86" s="335" t="s">
        <v>120</v>
      </c>
      <c r="K86" s="318" t="s">
        <v>69</v>
      </c>
      <c r="L86" s="401" t="s">
        <v>5</v>
      </c>
      <c r="M86" s="399">
        <v>1800000</v>
      </c>
      <c r="N86" s="53">
        <v>719</v>
      </c>
      <c r="O86" s="54"/>
    </row>
    <row r="87" spans="1:15" ht="21.75" customHeight="1" thickBot="1" x14ac:dyDescent="0.3">
      <c r="A87" s="319"/>
      <c r="B87" s="361"/>
      <c r="C87" s="315"/>
      <c r="D87" s="319"/>
      <c r="E87" s="319"/>
      <c r="F87" s="321"/>
      <c r="G87" s="55">
        <v>721</v>
      </c>
      <c r="H87" s="319"/>
      <c r="I87" s="313"/>
      <c r="J87" s="336"/>
      <c r="K87" s="319"/>
      <c r="L87" s="402"/>
      <c r="M87" s="400"/>
      <c r="N87" s="55">
        <v>723</v>
      </c>
      <c r="O87" s="56">
        <f>+M86-O86</f>
        <v>1800000</v>
      </c>
    </row>
    <row r="88" spans="1:15" ht="12" customHeight="1" x14ac:dyDescent="0.25">
      <c r="A88" s="318">
        <f>+A86+1</f>
        <v>243</v>
      </c>
      <c r="B88" s="312">
        <v>42242</v>
      </c>
      <c r="C88" s="318" t="s">
        <v>70</v>
      </c>
      <c r="D88" s="318" t="s">
        <v>121</v>
      </c>
      <c r="E88" s="318" t="s">
        <v>5</v>
      </c>
      <c r="F88" s="320">
        <v>336000</v>
      </c>
      <c r="G88" s="53">
        <v>719</v>
      </c>
      <c r="H88" s="310" t="s">
        <v>122</v>
      </c>
      <c r="I88" s="312">
        <v>45825</v>
      </c>
      <c r="J88" s="314" t="s">
        <v>123</v>
      </c>
      <c r="K88" s="318" t="s">
        <v>69</v>
      </c>
      <c r="L88" s="318" t="s">
        <v>5</v>
      </c>
      <c r="M88" s="320">
        <v>2520000</v>
      </c>
      <c r="N88" s="99">
        <v>719</v>
      </c>
      <c r="O88" s="100"/>
    </row>
    <row r="89" spans="1:15" ht="14.25" customHeight="1" thickBot="1" x14ac:dyDescent="0.3">
      <c r="A89" s="319"/>
      <c r="B89" s="361"/>
      <c r="C89" s="319"/>
      <c r="D89" s="319"/>
      <c r="E89" s="319"/>
      <c r="F89" s="321"/>
      <c r="G89" s="55">
        <v>721</v>
      </c>
      <c r="H89" s="319"/>
      <c r="I89" s="313"/>
      <c r="J89" s="315"/>
      <c r="K89" s="319"/>
      <c r="L89" s="319"/>
      <c r="M89" s="321"/>
      <c r="N89" s="101">
        <v>723</v>
      </c>
      <c r="O89" s="102">
        <f>+M88-O88</f>
        <v>2520000</v>
      </c>
    </row>
    <row r="90" spans="1:15" ht="11.25" customHeight="1" x14ac:dyDescent="0.25">
      <c r="A90" s="318">
        <f>+A88+1</f>
        <v>244</v>
      </c>
      <c r="B90" s="312">
        <v>42242</v>
      </c>
      <c r="C90" s="314" t="s">
        <v>106</v>
      </c>
      <c r="D90" s="318" t="s">
        <v>121</v>
      </c>
      <c r="E90" s="318" t="s">
        <v>5</v>
      </c>
      <c r="F90" s="320">
        <v>56000</v>
      </c>
      <c r="G90" s="53">
        <v>719</v>
      </c>
      <c r="H90" s="310" t="s">
        <v>124</v>
      </c>
      <c r="I90" s="312">
        <v>45825</v>
      </c>
      <c r="J90" s="335" t="s">
        <v>68</v>
      </c>
      <c r="K90" s="318" t="s">
        <v>69</v>
      </c>
      <c r="L90" s="318" t="s">
        <v>5</v>
      </c>
      <c r="M90" s="320">
        <v>3900000</v>
      </c>
      <c r="N90" s="99">
        <v>719</v>
      </c>
      <c r="O90" s="100"/>
    </row>
    <row r="91" spans="1:15" ht="14.25" customHeight="1" thickBot="1" x14ac:dyDescent="0.3">
      <c r="A91" s="319"/>
      <c r="B91" s="361"/>
      <c r="C91" s="315"/>
      <c r="D91" s="319"/>
      <c r="E91" s="319"/>
      <c r="F91" s="321"/>
      <c r="G91" s="55">
        <v>721</v>
      </c>
      <c r="H91" s="319"/>
      <c r="I91" s="313"/>
      <c r="J91" s="336"/>
      <c r="K91" s="319"/>
      <c r="L91" s="319"/>
      <c r="M91" s="321"/>
      <c r="N91" s="101">
        <v>723</v>
      </c>
      <c r="O91" s="102">
        <f>+M90-O90</f>
        <v>3900000</v>
      </c>
    </row>
    <row r="92" spans="1:15" ht="12" customHeight="1" x14ac:dyDescent="0.25">
      <c r="A92" s="57"/>
      <c r="B92" s="96"/>
      <c r="C92" s="103"/>
      <c r="D92" s="57"/>
      <c r="E92" s="57"/>
      <c r="F92" s="60"/>
      <c r="G92" s="61"/>
      <c r="H92" s="310" t="s">
        <v>125</v>
      </c>
      <c r="I92" s="312">
        <v>45825</v>
      </c>
      <c r="J92" s="314" t="s">
        <v>126</v>
      </c>
      <c r="K92" s="318" t="s">
        <v>69</v>
      </c>
      <c r="L92" s="318" t="s">
        <v>127</v>
      </c>
      <c r="M92" s="320">
        <v>1600000</v>
      </c>
      <c r="N92" s="53">
        <v>719</v>
      </c>
      <c r="O92" s="54"/>
    </row>
    <row r="93" spans="1:15" ht="14.25" customHeight="1" thickBot="1" x14ac:dyDescent="0.3">
      <c r="A93" s="57"/>
      <c r="B93" s="96"/>
      <c r="C93" s="103"/>
      <c r="D93" s="57"/>
      <c r="E93" s="57"/>
      <c r="F93" s="60"/>
      <c r="G93" s="61"/>
      <c r="H93" s="319"/>
      <c r="I93" s="313"/>
      <c r="J93" s="315"/>
      <c r="K93" s="319"/>
      <c r="L93" s="319"/>
      <c r="M93" s="321"/>
      <c r="N93" s="55">
        <v>723</v>
      </c>
      <c r="O93" s="56">
        <f>+M92-O92</f>
        <v>1600000</v>
      </c>
    </row>
    <row r="94" spans="1:15" ht="11.25" customHeight="1" x14ac:dyDescent="0.25">
      <c r="A94" s="318" t="e">
        <f>+#REF!+1</f>
        <v>#REF!</v>
      </c>
      <c r="B94" s="312">
        <v>42242</v>
      </c>
      <c r="C94" s="318" t="s">
        <v>64</v>
      </c>
      <c r="D94" s="318" t="s">
        <v>121</v>
      </c>
      <c r="E94" s="318" t="s">
        <v>5</v>
      </c>
      <c r="F94" s="320">
        <v>588000</v>
      </c>
      <c r="G94" s="53">
        <v>719</v>
      </c>
      <c r="H94" s="310" t="s">
        <v>128</v>
      </c>
      <c r="I94" s="312">
        <v>45825</v>
      </c>
      <c r="J94" s="314" t="s">
        <v>129</v>
      </c>
      <c r="K94" s="318" t="s">
        <v>69</v>
      </c>
      <c r="L94" s="318" t="s">
        <v>5</v>
      </c>
      <c r="M94" s="320">
        <v>2583132</v>
      </c>
      <c r="N94" s="53">
        <v>719</v>
      </c>
      <c r="O94" s="54"/>
    </row>
    <row r="95" spans="1:15" ht="14.25" customHeight="1" thickBot="1" x14ac:dyDescent="0.3">
      <c r="A95" s="319"/>
      <c r="B95" s="361"/>
      <c r="C95" s="319"/>
      <c r="D95" s="319"/>
      <c r="E95" s="319"/>
      <c r="F95" s="321"/>
      <c r="G95" s="55">
        <v>721</v>
      </c>
      <c r="H95" s="319"/>
      <c r="I95" s="313"/>
      <c r="J95" s="315"/>
      <c r="K95" s="319"/>
      <c r="L95" s="319"/>
      <c r="M95" s="321"/>
      <c r="N95" s="55">
        <v>723</v>
      </c>
      <c r="O95" s="56">
        <f>+M94-O94</f>
        <v>2583132</v>
      </c>
    </row>
    <row r="96" spans="1:15" ht="16.5" thickBot="1" x14ac:dyDescent="0.3">
      <c r="A96" s="297" t="s">
        <v>80</v>
      </c>
      <c r="B96" s="298"/>
      <c r="C96" s="298"/>
      <c r="D96" s="298"/>
      <c r="E96" s="299"/>
      <c r="F96" s="62">
        <f>SUM(F86:F95)</f>
        <v>1162000</v>
      </c>
      <c r="H96" s="297" t="s">
        <v>80</v>
      </c>
      <c r="I96" s="298"/>
      <c r="J96" s="298"/>
      <c r="K96" s="298"/>
      <c r="L96" s="299"/>
      <c r="M96" s="62">
        <f>+M86+M88+M90+M92+M94</f>
        <v>12403132</v>
      </c>
    </row>
    <row r="97" spans="1:15" ht="16.5" thickBot="1" x14ac:dyDescent="0.3">
      <c r="A97" s="300" t="s">
        <v>81</v>
      </c>
      <c r="B97" s="301"/>
      <c r="C97" s="301"/>
      <c r="D97" s="301"/>
      <c r="E97" s="302"/>
      <c r="F97" s="104" t="e">
        <f>+C111</f>
        <v>#REF!</v>
      </c>
      <c r="H97" s="300" t="s">
        <v>81</v>
      </c>
      <c r="I97" s="301"/>
      <c r="J97" s="301"/>
      <c r="K97" s="301"/>
      <c r="L97" s="302"/>
      <c r="M97" s="63">
        <f>+K74</f>
        <v>171308300</v>
      </c>
      <c r="N97" s="64" t="s">
        <v>82</v>
      </c>
      <c r="O97" s="65"/>
    </row>
    <row r="98" spans="1:15" ht="16.5" thickBot="1" x14ac:dyDescent="0.3">
      <c r="A98" s="303" t="s">
        <v>83</v>
      </c>
      <c r="B98" s="304"/>
      <c r="C98" s="304"/>
      <c r="D98" s="304"/>
      <c r="E98" s="305"/>
      <c r="F98" s="66" t="e">
        <f>SUM(F96:F97)</f>
        <v>#REF!</v>
      </c>
      <c r="H98" s="303" t="s">
        <v>83</v>
      </c>
      <c r="I98" s="304"/>
      <c r="J98" s="304"/>
      <c r="K98" s="304"/>
      <c r="L98" s="305"/>
      <c r="M98" s="66">
        <f>SUM(M96:M97)</f>
        <v>183711432</v>
      </c>
    </row>
    <row r="99" spans="1:15" ht="14.25" customHeight="1" x14ac:dyDescent="0.25">
      <c r="A99" s="67"/>
      <c r="B99" s="67"/>
      <c r="C99" s="67"/>
      <c r="D99" s="67"/>
      <c r="E99" s="67"/>
      <c r="H99" s="67"/>
      <c r="I99" s="67"/>
      <c r="J99" s="67"/>
      <c r="K99" s="67"/>
      <c r="L99" s="67"/>
    </row>
    <row r="100" spans="1:15" x14ac:dyDescent="0.25">
      <c r="A100" s="41" t="s">
        <v>130</v>
      </c>
      <c r="H100" s="41" t="s">
        <v>131</v>
      </c>
    </row>
    <row r="101" spans="1:15" ht="4.5" customHeight="1" x14ac:dyDescent="0.25">
      <c r="F101" s="68"/>
      <c r="M101" s="68"/>
    </row>
    <row r="102" spans="1:15" ht="12" customHeight="1" x14ac:dyDescent="0.25">
      <c r="A102" s="40" t="s">
        <v>86</v>
      </c>
      <c r="D102" s="69"/>
      <c r="H102" s="40" t="s">
        <v>86</v>
      </c>
      <c r="K102" s="69"/>
      <c r="M102" s="68"/>
    </row>
    <row r="103" spans="1:15" ht="6" customHeight="1" thickBot="1" x14ac:dyDescent="0.3"/>
    <row r="104" spans="1:15" ht="17.25" thickBot="1" x14ac:dyDescent="0.35">
      <c r="A104" s="306" t="s">
        <v>87</v>
      </c>
      <c r="B104" s="307"/>
      <c r="C104" s="307"/>
      <c r="D104" s="308"/>
      <c r="F104" s="40" t="s">
        <v>88</v>
      </c>
      <c r="H104" s="306" t="s">
        <v>87</v>
      </c>
      <c r="I104" s="307"/>
      <c r="J104" s="307"/>
      <c r="K104" s="308"/>
      <c r="M104" s="350" t="s">
        <v>89</v>
      </c>
      <c r="N104" s="350"/>
      <c r="O104" s="350"/>
    </row>
    <row r="105" spans="1:15" ht="28.5" customHeight="1" thickBot="1" x14ac:dyDescent="0.35">
      <c r="A105" s="70" t="s">
        <v>62</v>
      </c>
      <c r="B105" s="71" t="s">
        <v>90</v>
      </c>
      <c r="C105" s="72" t="s">
        <v>91</v>
      </c>
      <c r="D105" s="73" t="s">
        <v>92</v>
      </c>
      <c r="H105" s="70" t="s">
        <v>62</v>
      </c>
      <c r="I105" s="71" t="s">
        <v>90</v>
      </c>
      <c r="J105" s="72" t="s">
        <v>91</v>
      </c>
      <c r="K105" s="73" t="s">
        <v>92</v>
      </c>
      <c r="M105" s="6"/>
      <c r="N105" s="6"/>
      <c r="O105" s="6"/>
    </row>
    <row r="106" spans="1:15" ht="12.75" customHeight="1" x14ac:dyDescent="0.3">
      <c r="A106" s="75">
        <v>719</v>
      </c>
      <c r="B106" s="76" t="e">
        <f>+#REF!+#REF!+#REF!+#REF!+#REF!</f>
        <v>#REF!</v>
      </c>
      <c r="C106" s="77" t="e">
        <f>+D69</f>
        <v>#REF!</v>
      </c>
      <c r="D106" s="78" t="e">
        <f>+B106+C106</f>
        <v>#REF!</v>
      </c>
      <c r="H106" s="75">
        <v>719</v>
      </c>
      <c r="I106" s="76"/>
      <c r="J106" s="77">
        <f>+K69</f>
        <v>12720000</v>
      </c>
      <c r="K106" s="79">
        <f>+I106+J106</f>
        <v>12720000</v>
      </c>
      <c r="M106" s="6"/>
      <c r="N106" s="6"/>
      <c r="O106" s="6"/>
    </row>
    <row r="107" spans="1:15" ht="13.5" customHeight="1" x14ac:dyDescent="0.3">
      <c r="A107" s="80">
        <v>721</v>
      </c>
      <c r="B107" s="81" t="e">
        <f>+#REF!+#REF!+#REF!+#REF!+#REF!</f>
        <v>#REF!</v>
      </c>
      <c r="C107" s="77">
        <f>+D70</f>
        <v>36156092</v>
      </c>
      <c r="D107" s="78" t="e">
        <f>+B107+C107</f>
        <v>#REF!</v>
      </c>
      <c r="H107" s="80">
        <v>721</v>
      </c>
      <c r="I107" s="81"/>
      <c r="J107" s="77">
        <f>+K70</f>
        <v>1505000</v>
      </c>
      <c r="K107" s="79">
        <f>+I107+J107</f>
        <v>1505000</v>
      </c>
      <c r="M107" s="6"/>
      <c r="N107" s="6"/>
      <c r="O107" s="6"/>
    </row>
    <row r="108" spans="1:15" ht="12.75" customHeight="1" x14ac:dyDescent="0.3">
      <c r="A108" s="80">
        <v>722</v>
      </c>
      <c r="B108" s="81"/>
      <c r="C108" s="77">
        <f>+D71</f>
        <v>224787287</v>
      </c>
      <c r="D108" s="78">
        <f>+B108+C108</f>
        <v>224787287</v>
      </c>
      <c r="H108" s="80">
        <v>722</v>
      </c>
      <c r="I108" s="81">
        <v>0</v>
      </c>
      <c r="J108" s="77">
        <f>+K71</f>
        <v>0</v>
      </c>
      <c r="K108" s="79">
        <f>+I108+J108</f>
        <v>0</v>
      </c>
      <c r="M108" s="6"/>
      <c r="N108" s="6"/>
      <c r="O108" s="6"/>
    </row>
    <row r="109" spans="1:15" ht="17.25" customHeight="1" thickBot="1" x14ac:dyDescent="0.3">
      <c r="A109" s="80">
        <v>723</v>
      </c>
      <c r="B109" s="81"/>
      <c r="C109" s="77">
        <f>+D72</f>
        <v>319828837</v>
      </c>
      <c r="D109" s="78">
        <f>+B109+C109</f>
        <v>319828837</v>
      </c>
      <c r="F109" s="83" t="s">
        <v>93</v>
      </c>
      <c r="H109" s="80">
        <v>723</v>
      </c>
      <c r="I109" s="81">
        <f>+M96</f>
        <v>12403132</v>
      </c>
      <c r="J109" s="77">
        <f>+K72</f>
        <v>157083300</v>
      </c>
      <c r="K109" s="79">
        <f>+I109+J109</f>
        <v>169486432</v>
      </c>
      <c r="M109" s="343"/>
      <c r="N109" s="275"/>
      <c r="O109" s="275"/>
    </row>
    <row r="110" spans="1:15" ht="13.5" hidden="1" customHeight="1" x14ac:dyDescent="0.3">
      <c r="A110" s="85" t="s">
        <v>94</v>
      </c>
      <c r="B110" s="86"/>
      <c r="C110" s="77">
        <f>+D73</f>
        <v>1965625</v>
      </c>
      <c r="D110" s="88">
        <f>+B110+C110</f>
        <v>1965625</v>
      </c>
      <c r="F110" s="45"/>
      <c r="H110" s="85" t="s">
        <v>94</v>
      </c>
      <c r="I110" s="86"/>
      <c r="J110" s="77">
        <f>+K73</f>
        <v>0</v>
      </c>
      <c r="K110" s="89">
        <f>+I110+J110</f>
        <v>0</v>
      </c>
      <c r="M110" s="105"/>
      <c r="N110" s="6"/>
      <c r="O110" s="6"/>
    </row>
    <row r="111" spans="1:15" ht="15" customHeight="1" thickBot="1" x14ac:dyDescent="0.3">
      <c r="A111" s="90"/>
      <c r="B111" s="91" t="e">
        <f>SUM(B106:B110)</f>
        <v>#REF!</v>
      </c>
      <c r="C111" s="92" t="e">
        <f>SUM(C106:C110)</f>
        <v>#REF!</v>
      </c>
      <c r="D111" s="93" t="e">
        <f>SUM(D106:D110)</f>
        <v>#REF!</v>
      </c>
      <c r="H111" s="90"/>
      <c r="I111" s="94">
        <f>SUM(I106:I110)</f>
        <v>12403132</v>
      </c>
      <c r="J111" s="94">
        <f>SUM(J106:J110)</f>
        <v>171308300</v>
      </c>
      <c r="K111" s="95">
        <f>SUM(K106:K110)</f>
        <v>183711432</v>
      </c>
    </row>
    <row r="112" spans="1:15" ht="16.5" x14ac:dyDescent="0.25">
      <c r="A112" s="39" t="s">
        <v>46</v>
      </c>
      <c r="B112" s="40"/>
      <c r="H112" s="39" t="s">
        <v>46</v>
      </c>
      <c r="I112" s="40"/>
    </row>
    <row r="113" spans="1:15" ht="11.25" customHeight="1" x14ac:dyDescent="0.25">
      <c r="A113" s="41" t="s">
        <v>47</v>
      </c>
      <c r="H113" s="41" t="s">
        <v>47</v>
      </c>
    </row>
    <row r="114" spans="1:15" ht="11.25" customHeight="1" x14ac:dyDescent="0.25">
      <c r="A114" s="41" t="s">
        <v>48</v>
      </c>
      <c r="H114" s="41" t="s">
        <v>48</v>
      </c>
    </row>
    <row r="115" spans="1:15" ht="12.75" customHeight="1" x14ac:dyDescent="0.25">
      <c r="A115" s="41" t="s">
        <v>49</v>
      </c>
      <c r="H115" s="41" t="s">
        <v>49</v>
      </c>
    </row>
    <row r="116" spans="1:15" ht="5.25" customHeight="1" x14ac:dyDescent="0.25">
      <c r="A116" s="40"/>
      <c r="B116" s="40"/>
      <c r="H116" s="40"/>
      <c r="I116" s="40"/>
    </row>
    <row r="117" spans="1:15" ht="15.75" customHeight="1" x14ac:dyDescent="0.25">
      <c r="A117" s="45" t="s">
        <v>132</v>
      </c>
      <c r="B117" s="40"/>
      <c r="G117" s="45"/>
      <c r="H117" s="45" t="s">
        <v>133</v>
      </c>
      <c r="N117" s="45"/>
    </row>
    <row r="118" spans="1:15" ht="15.75" x14ac:dyDescent="0.25">
      <c r="A118" s="47" t="s">
        <v>52</v>
      </c>
      <c r="G118" s="47"/>
      <c r="H118" s="47" t="s">
        <v>97</v>
      </c>
      <c r="N118" s="47"/>
    </row>
    <row r="119" spans="1:15" ht="15.75" customHeight="1" x14ac:dyDescent="0.25">
      <c r="A119" s="326" t="s">
        <v>116</v>
      </c>
      <c r="B119" s="326"/>
      <c r="C119" s="326"/>
      <c r="D119" s="326"/>
      <c r="E119" s="326"/>
      <c r="F119" s="326"/>
      <c r="G119" s="326"/>
      <c r="H119" s="326" t="s">
        <v>55</v>
      </c>
      <c r="I119" s="326"/>
      <c r="J119" s="326"/>
      <c r="K119" s="326"/>
      <c r="L119" s="326"/>
      <c r="M119" s="326"/>
      <c r="N119" s="326"/>
      <c r="O119" s="326"/>
    </row>
    <row r="120" spans="1:15" ht="6.75" customHeight="1" thickBot="1" x14ac:dyDescent="0.3"/>
    <row r="121" spans="1:15" ht="15.75" customHeight="1" x14ac:dyDescent="0.25">
      <c r="A121" s="327" t="s">
        <v>56</v>
      </c>
      <c r="B121" s="322" t="s">
        <v>57</v>
      </c>
      <c r="C121" s="322" t="s">
        <v>58</v>
      </c>
      <c r="D121" s="322" t="s">
        <v>7</v>
      </c>
      <c r="E121" s="322" t="s">
        <v>59</v>
      </c>
      <c r="F121" s="322" t="s">
        <v>60</v>
      </c>
      <c r="G121" s="50" t="s">
        <v>61</v>
      </c>
      <c r="H121" s="327" t="s">
        <v>56</v>
      </c>
      <c r="I121" s="322" t="s">
        <v>57</v>
      </c>
      <c r="J121" s="322" t="s">
        <v>58</v>
      </c>
      <c r="K121" s="322" t="s">
        <v>7</v>
      </c>
      <c r="L121" s="322" t="s">
        <v>59</v>
      </c>
      <c r="M121" s="322" t="s">
        <v>60</v>
      </c>
      <c r="N121" s="322" t="s">
        <v>61</v>
      </c>
      <c r="O121" s="324"/>
    </row>
    <row r="122" spans="1:15" ht="15" customHeight="1" thickBot="1" x14ac:dyDescent="0.3">
      <c r="A122" s="328"/>
      <c r="B122" s="323"/>
      <c r="C122" s="323"/>
      <c r="D122" s="323"/>
      <c r="E122" s="323"/>
      <c r="F122" s="323"/>
      <c r="G122" s="51" t="s">
        <v>62</v>
      </c>
      <c r="H122" s="328"/>
      <c r="I122" s="323"/>
      <c r="J122" s="323"/>
      <c r="K122" s="323"/>
      <c r="L122" s="323"/>
      <c r="M122" s="323"/>
      <c r="N122" s="51" t="s">
        <v>62</v>
      </c>
      <c r="O122" s="52" t="s">
        <v>63</v>
      </c>
    </row>
    <row r="123" spans="1:15" ht="14.25" customHeight="1" x14ac:dyDescent="0.25">
      <c r="A123" s="318" t="e">
        <f>+A94+1</f>
        <v>#REF!</v>
      </c>
      <c r="B123" s="312">
        <v>42242</v>
      </c>
      <c r="C123" s="395" t="s">
        <v>117</v>
      </c>
      <c r="D123" s="318" t="s">
        <v>134</v>
      </c>
      <c r="E123" s="318" t="s">
        <v>5</v>
      </c>
      <c r="F123" s="320">
        <v>196000</v>
      </c>
      <c r="G123" s="53">
        <v>719</v>
      </c>
      <c r="H123" s="310" t="s">
        <v>135</v>
      </c>
      <c r="I123" s="312">
        <v>45825</v>
      </c>
      <c r="J123" s="335" t="s">
        <v>136</v>
      </c>
      <c r="K123" s="318" t="s">
        <v>137</v>
      </c>
      <c r="L123" s="318" t="s">
        <v>5</v>
      </c>
      <c r="M123" s="320">
        <v>7623000</v>
      </c>
      <c r="N123" s="53">
        <v>719</v>
      </c>
      <c r="O123" s="54"/>
    </row>
    <row r="124" spans="1:15" ht="13.5" customHeight="1" thickBot="1" x14ac:dyDescent="0.3">
      <c r="A124" s="319"/>
      <c r="B124" s="361"/>
      <c r="C124" s="396"/>
      <c r="D124" s="319"/>
      <c r="E124" s="319"/>
      <c r="F124" s="321"/>
      <c r="G124" s="55">
        <v>721</v>
      </c>
      <c r="H124" s="319"/>
      <c r="I124" s="313"/>
      <c r="J124" s="336"/>
      <c r="K124" s="319"/>
      <c r="L124" s="319"/>
      <c r="M124" s="321"/>
      <c r="N124" s="55">
        <v>723</v>
      </c>
      <c r="O124" s="56">
        <f>+M123-O123</f>
        <v>7623000</v>
      </c>
    </row>
    <row r="125" spans="1:15" ht="11.25" customHeight="1" x14ac:dyDescent="0.25">
      <c r="A125" s="318" t="e">
        <f>+A123+1</f>
        <v>#REF!</v>
      </c>
      <c r="B125" s="312">
        <v>42242</v>
      </c>
      <c r="C125" s="385" t="s">
        <v>70</v>
      </c>
      <c r="D125" s="318" t="s">
        <v>134</v>
      </c>
      <c r="E125" s="318" t="s">
        <v>5</v>
      </c>
      <c r="F125" s="320">
        <v>364000</v>
      </c>
      <c r="G125" s="53">
        <v>719</v>
      </c>
      <c r="H125" s="310" t="s">
        <v>138</v>
      </c>
      <c r="I125" s="312">
        <v>45825</v>
      </c>
      <c r="J125" s="335" t="s">
        <v>136</v>
      </c>
      <c r="K125" s="318" t="s">
        <v>137</v>
      </c>
      <c r="L125" s="318" t="s">
        <v>5</v>
      </c>
      <c r="M125" s="320">
        <v>5400000</v>
      </c>
      <c r="N125" s="53">
        <v>719</v>
      </c>
      <c r="O125" s="54"/>
    </row>
    <row r="126" spans="1:15" ht="13.5" customHeight="1" thickBot="1" x14ac:dyDescent="0.3">
      <c r="A126" s="319"/>
      <c r="B126" s="361"/>
      <c r="C126" s="386"/>
      <c r="D126" s="319"/>
      <c r="E126" s="319"/>
      <c r="F126" s="321"/>
      <c r="G126" s="55">
        <v>721</v>
      </c>
      <c r="H126" s="319"/>
      <c r="I126" s="313"/>
      <c r="J126" s="336"/>
      <c r="K126" s="319"/>
      <c r="L126" s="319"/>
      <c r="M126" s="321"/>
      <c r="N126" s="55">
        <v>723</v>
      </c>
      <c r="O126" s="56">
        <f>+M125-O125</f>
        <v>5400000</v>
      </c>
    </row>
    <row r="127" spans="1:15" ht="13.5" customHeight="1" x14ac:dyDescent="0.25">
      <c r="A127" s="318" t="e">
        <f>+A125+1</f>
        <v>#REF!</v>
      </c>
      <c r="B127" s="312">
        <v>42242</v>
      </c>
      <c r="C127" s="395" t="s">
        <v>106</v>
      </c>
      <c r="D127" s="318" t="s">
        <v>139</v>
      </c>
      <c r="E127" s="318" t="s">
        <v>5</v>
      </c>
      <c r="F127" s="320">
        <v>70000</v>
      </c>
      <c r="G127" s="53">
        <v>719</v>
      </c>
      <c r="H127" s="310" t="s">
        <v>140</v>
      </c>
      <c r="I127" s="312">
        <v>45825</v>
      </c>
      <c r="J127" s="335" t="s">
        <v>136</v>
      </c>
      <c r="K127" s="318" t="s">
        <v>137</v>
      </c>
      <c r="L127" s="318" t="s">
        <v>5</v>
      </c>
      <c r="M127" s="320">
        <v>3300000</v>
      </c>
      <c r="N127" s="53">
        <v>719</v>
      </c>
      <c r="O127" s="54"/>
    </row>
    <row r="128" spans="1:15" ht="12.75" customHeight="1" thickBot="1" x14ac:dyDescent="0.3">
      <c r="A128" s="319"/>
      <c r="B128" s="361"/>
      <c r="C128" s="396"/>
      <c r="D128" s="319"/>
      <c r="E128" s="319"/>
      <c r="F128" s="321"/>
      <c r="G128" s="55">
        <v>721</v>
      </c>
      <c r="H128" s="319"/>
      <c r="I128" s="313"/>
      <c r="J128" s="336"/>
      <c r="K128" s="319"/>
      <c r="L128" s="319"/>
      <c r="M128" s="321"/>
      <c r="N128" s="55">
        <v>723</v>
      </c>
      <c r="O128" s="56">
        <f>+M127-O127</f>
        <v>3300000</v>
      </c>
    </row>
    <row r="129" spans="1:15" ht="12.75" customHeight="1" x14ac:dyDescent="0.25">
      <c r="A129" s="57"/>
      <c r="B129" s="96"/>
      <c r="C129" s="97"/>
      <c r="D129" s="57"/>
      <c r="E129" s="57"/>
      <c r="F129" s="60"/>
      <c r="G129" s="61"/>
      <c r="H129" s="310" t="s">
        <v>141</v>
      </c>
      <c r="I129" s="312">
        <v>45825</v>
      </c>
      <c r="J129" s="314" t="s">
        <v>142</v>
      </c>
      <c r="K129" s="318" t="s">
        <v>143</v>
      </c>
      <c r="L129" s="318" t="s">
        <v>5</v>
      </c>
      <c r="M129" s="320">
        <v>1260000</v>
      </c>
      <c r="N129" s="53">
        <v>719</v>
      </c>
      <c r="O129" s="54"/>
    </row>
    <row r="130" spans="1:15" ht="12.75" customHeight="1" thickBot="1" x14ac:dyDescent="0.3">
      <c r="A130" s="57"/>
      <c r="B130" s="96"/>
      <c r="C130" s="97"/>
      <c r="D130" s="57"/>
      <c r="E130" s="57"/>
      <c r="F130" s="60"/>
      <c r="G130" s="61"/>
      <c r="H130" s="319"/>
      <c r="I130" s="313"/>
      <c r="J130" s="315"/>
      <c r="K130" s="319"/>
      <c r="L130" s="319"/>
      <c r="M130" s="321"/>
      <c r="N130" s="55">
        <v>723</v>
      </c>
      <c r="O130" s="56">
        <f>+M129-O129</f>
        <v>1260000</v>
      </c>
    </row>
    <row r="131" spans="1:15" ht="11.25" customHeight="1" x14ac:dyDescent="0.25">
      <c r="A131" s="318" t="e">
        <f>+A127+1</f>
        <v>#REF!</v>
      </c>
      <c r="B131" s="312">
        <v>42242</v>
      </c>
      <c r="C131" s="385" t="s">
        <v>144</v>
      </c>
      <c r="D131" s="318" t="s">
        <v>145</v>
      </c>
      <c r="E131" s="318" t="s">
        <v>5</v>
      </c>
      <c r="F131" s="320">
        <v>56000</v>
      </c>
      <c r="G131" s="53">
        <v>719</v>
      </c>
      <c r="H131" s="310" t="s">
        <v>146</v>
      </c>
      <c r="I131" s="312">
        <v>45825</v>
      </c>
      <c r="J131" s="314" t="s">
        <v>147</v>
      </c>
      <c r="K131" s="318" t="s">
        <v>143</v>
      </c>
      <c r="L131" s="318" t="s">
        <v>5</v>
      </c>
      <c r="M131" s="320">
        <v>7875000</v>
      </c>
      <c r="N131" s="53">
        <v>719</v>
      </c>
      <c r="O131" s="54"/>
    </row>
    <row r="132" spans="1:15" ht="14.25" customHeight="1" thickBot="1" x14ac:dyDescent="0.3">
      <c r="A132" s="319"/>
      <c r="B132" s="361"/>
      <c r="C132" s="386"/>
      <c r="D132" s="319"/>
      <c r="E132" s="319"/>
      <c r="F132" s="321"/>
      <c r="G132" s="55">
        <v>721</v>
      </c>
      <c r="H132" s="319"/>
      <c r="I132" s="313"/>
      <c r="J132" s="315"/>
      <c r="K132" s="319"/>
      <c r="L132" s="319"/>
      <c r="M132" s="321"/>
      <c r="N132" s="55">
        <v>723</v>
      </c>
      <c r="O132" s="56">
        <f>+M131</f>
        <v>7875000</v>
      </c>
    </row>
    <row r="133" spans="1:15" ht="16.5" thickBot="1" x14ac:dyDescent="0.3">
      <c r="A133" s="297" t="s">
        <v>80</v>
      </c>
      <c r="B133" s="298"/>
      <c r="C133" s="298"/>
      <c r="D133" s="298"/>
      <c r="E133" s="299"/>
      <c r="F133" s="62">
        <f>SUM(F123:F132)</f>
        <v>686000</v>
      </c>
      <c r="H133" s="297" t="s">
        <v>80</v>
      </c>
      <c r="I133" s="298"/>
      <c r="J133" s="298"/>
      <c r="K133" s="298"/>
      <c r="L133" s="299"/>
      <c r="M133" s="62">
        <f>SUM(M123:M132)</f>
        <v>25458000</v>
      </c>
    </row>
    <row r="134" spans="1:15" ht="16.5" thickBot="1" x14ac:dyDescent="0.3">
      <c r="A134" s="300" t="s">
        <v>81</v>
      </c>
      <c r="B134" s="301"/>
      <c r="C134" s="301"/>
      <c r="D134" s="301"/>
      <c r="E134" s="302"/>
      <c r="F134" s="104" t="e">
        <f>+F98</f>
        <v>#REF!</v>
      </c>
      <c r="H134" s="300" t="s">
        <v>81</v>
      </c>
      <c r="I134" s="301"/>
      <c r="J134" s="301"/>
      <c r="K134" s="301"/>
      <c r="L134" s="302"/>
      <c r="M134" s="106">
        <f>+M98</f>
        <v>183711432</v>
      </c>
      <c r="N134" s="64" t="s">
        <v>82</v>
      </c>
      <c r="O134" s="65"/>
    </row>
    <row r="135" spans="1:15" ht="15" customHeight="1" thickBot="1" x14ac:dyDescent="0.3">
      <c r="A135" s="303" t="s">
        <v>83</v>
      </c>
      <c r="B135" s="304"/>
      <c r="C135" s="304"/>
      <c r="D135" s="304"/>
      <c r="E135" s="305"/>
      <c r="F135" s="66" t="e">
        <f>SUM(F133:F134)</f>
        <v>#REF!</v>
      </c>
      <c r="H135" s="303" t="s">
        <v>83</v>
      </c>
      <c r="I135" s="304"/>
      <c r="J135" s="304"/>
      <c r="K135" s="304"/>
      <c r="L135" s="305"/>
      <c r="M135" s="66">
        <f>SUM(M133:M134)</f>
        <v>209169432</v>
      </c>
    </row>
    <row r="136" spans="1:15" ht="4.5" customHeight="1" x14ac:dyDescent="0.25">
      <c r="A136" s="67"/>
      <c r="B136" s="67"/>
      <c r="C136" s="67"/>
      <c r="D136" s="67"/>
      <c r="E136" s="67"/>
      <c r="H136" s="67"/>
      <c r="I136" s="67"/>
      <c r="J136" s="67"/>
      <c r="K136" s="67"/>
      <c r="L136" s="67"/>
    </row>
    <row r="137" spans="1:15" ht="15" customHeight="1" x14ac:dyDescent="0.25">
      <c r="A137" s="41" t="s">
        <v>148</v>
      </c>
      <c r="H137" s="41" t="s">
        <v>149</v>
      </c>
    </row>
    <row r="138" spans="1:15" ht="9.75" customHeight="1" x14ac:dyDescent="0.25">
      <c r="F138" s="68"/>
      <c r="M138" s="68"/>
    </row>
    <row r="139" spans="1:15" x14ac:dyDescent="0.25">
      <c r="A139" s="40" t="s">
        <v>86</v>
      </c>
      <c r="D139" s="69"/>
      <c r="H139" s="40" t="s">
        <v>86</v>
      </c>
      <c r="K139" s="69"/>
      <c r="M139" s="68"/>
    </row>
    <row r="140" spans="1:15" ht="4.5" customHeight="1" thickBot="1" x14ac:dyDescent="0.3"/>
    <row r="141" spans="1:15" ht="17.25" thickBot="1" x14ac:dyDescent="0.35">
      <c r="A141" s="306" t="s">
        <v>87</v>
      </c>
      <c r="B141" s="307"/>
      <c r="C141" s="307"/>
      <c r="D141" s="308"/>
      <c r="F141" s="40" t="s">
        <v>88</v>
      </c>
      <c r="H141" s="306" t="s">
        <v>87</v>
      </c>
      <c r="I141" s="307"/>
      <c r="J141" s="307"/>
      <c r="K141" s="308"/>
      <c r="M141" s="350" t="s">
        <v>89</v>
      </c>
      <c r="N141" s="350"/>
      <c r="O141" s="350"/>
    </row>
    <row r="142" spans="1:15" ht="31.5" thickBot="1" x14ac:dyDescent="0.35">
      <c r="A142" s="70" t="s">
        <v>62</v>
      </c>
      <c r="B142" s="71" t="s">
        <v>90</v>
      </c>
      <c r="C142" s="72" t="s">
        <v>91</v>
      </c>
      <c r="D142" s="73" t="s">
        <v>92</v>
      </c>
      <c r="H142" s="70" t="s">
        <v>62</v>
      </c>
      <c r="I142" s="71" t="s">
        <v>90</v>
      </c>
      <c r="J142" s="72" t="s">
        <v>91</v>
      </c>
      <c r="K142" s="73" t="s">
        <v>92</v>
      </c>
      <c r="M142" s="6"/>
      <c r="N142" s="6"/>
      <c r="O142" s="6"/>
    </row>
    <row r="143" spans="1:15" ht="15" customHeight="1" x14ac:dyDescent="0.3">
      <c r="A143" s="75">
        <v>719</v>
      </c>
      <c r="B143" s="76" t="e">
        <f>+#REF!+#REF!+#REF!+#REF!+#REF!</f>
        <v>#REF!</v>
      </c>
      <c r="C143" s="77" t="e">
        <f>+D106</f>
        <v>#REF!</v>
      </c>
      <c r="D143" s="78" t="e">
        <f>+B143+C143</f>
        <v>#REF!</v>
      </c>
      <c r="H143" s="75">
        <v>719</v>
      </c>
      <c r="I143" s="76"/>
      <c r="J143" s="77">
        <f>+K106</f>
        <v>12720000</v>
      </c>
      <c r="K143" s="79">
        <f>+I143+J143</f>
        <v>12720000</v>
      </c>
      <c r="M143" s="6"/>
      <c r="N143" s="6"/>
      <c r="O143" s="6"/>
    </row>
    <row r="144" spans="1:15" ht="12.75" customHeight="1" x14ac:dyDescent="0.3">
      <c r="A144" s="80">
        <v>721</v>
      </c>
      <c r="B144" s="81" t="e">
        <f>+#REF!+#REF!+#REF!+#REF!+#REF!</f>
        <v>#REF!</v>
      </c>
      <c r="C144" s="77" t="e">
        <f>+D107</f>
        <v>#REF!</v>
      </c>
      <c r="D144" s="78" t="e">
        <f>+B144+C144</f>
        <v>#REF!</v>
      </c>
      <c r="H144" s="80">
        <v>721</v>
      </c>
      <c r="I144" s="81"/>
      <c r="J144" s="77">
        <f>+K107</f>
        <v>1505000</v>
      </c>
      <c r="K144" s="79">
        <f>+I144+J144</f>
        <v>1505000</v>
      </c>
      <c r="M144" s="6"/>
      <c r="N144" s="6"/>
      <c r="O144" s="6"/>
    </row>
    <row r="145" spans="1:15" ht="13.5" customHeight="1" x14ac:dyDescent="0.3">
      <c r="A145" s="80">
        <v>722</v>
      </c>
      <c r="B145" s="81"/>
      <c r="C145" s="77">
        <f>+D108</f>
        <v>224787287</v>
      </c>
      <c r="D145" s="78">
        <f>+B145+C145</f>
        <v>224787287</v>
      </c>
      <c r="H145" s="80">
        <v>722</v>
      </c>
      <c r="I145" s="81"/>
      <c r="J145" s="77">
        <f>+K108</f>
        <v>0</v>
      </c>
      <c r="K145" s="79">
        <f>+I145+J145</f>
        <v>0</v>
      </c>
      <c r="M145" s="6"/>
      <c r="N145" s="6"/>
      <c r="O145" s="6"/>
    </row>
    <row r="146" spans="1:15" ht="13.5" customHeight="1" thickBot="1" x14ac:dyDescent="0.3">
      <c r="A146" s="80">
        <v>723</v>
      </c>
      <c r="B146" s="81"/>
      <c r="C146" s="77">
        <f>+D109</f>
        <v>319828837</v>
      </c>
      <c r="D146" s="78">
        <f>+B146+C146</f>
        <v>319828837</v>
      </c>
      <c r="F146" s="83" t="s">
        <v>93</v>
      </c>
      <c r="H146" s="80">
        <v>723</v>
      </c>
      <c r="I146" s="81">
        <f>+O124+O126+O128+O132+O130</f>
        <v>25458000</v>
      </c>
      <c r="J146" s="77">
        <f>+K109</f>
        <v>169486432</v>
      </c>
      <c r="K146" s="79">
        <f>+I146+J146</f>
        <v>194944432</v>
      </c>
      <c r="M146" s="343"/>
      <c r="N146" s="275"/>
      <c r="O146" s="275"/>
    </row>
    <row r="147" spans="1:15" ht="13.5" hidden="1" customHeight="1" x14ac:dyDescent="0.25">
      <c r="A147" s="85" t="s">
        <v>94</v>
      </c>
      <c r="B147" s="86"/>
      <c r="C147" s="77">
        <f>+D110</f>
        <v>1965625</v>
      </c>
      <c r="D147" s="88">
        <f>+B147+C147</f>
        <v>1965625</v>
      </c>
      <c r="F147" s="45"/>
      <c r="H147" s="85" t="s">
        <v>94</v>
      </c>
      <c r="I147" s="86"/>
      <c r="J147" s="77">
        <f>+K110</f>
        <v>0</v>
      </c>
      <c r="K147" s="89">
        <f>+I147+J147</f>
        <v>0</v>
      </c>
      <c r="M147" s="45"/>
    </row>
    <row r="148" spans="1:15" ht="15.75" customHeight="1" thickBot="1" x14ac:dyDescent="0.3">
      <c r="A148" s="90"/>
      <c r="B148" s="91" t="e">
        <f>SUM(B143:B147)</f>
        <v>#REF!</v>
      </c>
      <c r="C148" s="92" t="e">
        <f>SUM(C143:C147)</f>
        <v>#REF!</v>
      </c>
      <c r="D148" s="93" t="e">
        <f>SUM(D143:D147)</f>
        <v>#REF!</v>
      </c>
      <c r="H148" s="90"/>
      <c r="I148" s="94">
        <f>SUM(I143:I147)</f>
        <v>25458000</v>
      </c>
      <c r="J148" s="94">
        <f>SUM(J143:J147)</f>
        <v>183711432</v>
      </c>
      <c r="K148" s="95">
        <f>SUM(K143:K147)</f>
        <v>209169432</v>
      </c>
    </row>
    <row r="149" spans="1:15" ht="16.5" x14ac:dyDescent="0.25">
      <c r="A149" s="39" t="s">
        <v>46</v>
      </c>
      <c r="B149" s="40"/>
      <c r="H149" s="39" t="s">
        <v>46</v>
      </c>
      <c r="I149" s="40"/>
    </row>
    <row r="150" spans="1:15" ht="13.5" customHeight="1" x14ac:dyDescent="0.25">
      <c r="A150" s="41" t="s">
        <v>47</v>
      </c>
      <c r="H150" s="41" t="s">
        <v>47</v>
      </c>
    </row>
    <row r="151" spans="1:15" ht="12.75" customHeight="1" x14ac:dyDescent="0.25">
      <c r="A151" s="41" t="s">
        <v>48</v>
      </c>
      <c r="H151" s="41" t="s">
        <v>48</v>
      </c>
    </row>
    <row r="152" spans="1:15" x14ac:dyDescent="0.25">
      <c r="A152" s="41" t="s">
        <v>49</v>
      </c>
      <c r="H152" s="41" t="s">
        <v>49</v>
      </c>
    </row>
    <row r="153" spans="1:15" ht="1.5" customHeight="1" x14ac:dyDescent="0.25">
      <c r="A153" s="40"/>
      <c r="B153" s="40"/>
      <c r="H153" s="40"/>
      <c r="I153" s="40"/>
    </row>
    <row r="154" spans="1:15" ht="15.75" customHeight="1" x14ac:dyDescent="0.25">
      <c r="A154" s="45" t="s">
        <v>150</v>
      </c>
      <c r="B154" s="40"/>
      <c r="G154" s="45"/>
      <c r="H154" s="45" t="s">
        <v>151</v>
      </c>
      <c r="N154" s="45"/>
    </row>
    <row r="155" spans="1:15" ht="15" customHeight="1" x14ac:dyDescent="0.25">
      <c r="A155" s="47" t="s">
        <v>52</v>
      </c>
      <c r="G155" s="47"/>
      <c r="H155" s="47" t="s">
        <v>97</v>
      </c>
      <c r="N155" s="47"/>
    </row>
    <row r="156" spans="1:15" ht="14.25" customHeight="1" x14ac:dyDescent="0.25">
      <c r="A156" s="326" t="s">
        <v>116</v>
      </c>
      <c r="B156" s="326"/>
      <c r="C156" s="326"/>
      <c r="D156" s="326"/>
      <c r="E156" s="326"/>
      <c r="F156" s="326"/>
      <c r="G156" s="326"/>
      <c r="H156" s="326" t="s">
        <v>152</v>
      </c>
      <c r="I156" s="326"/>
      <c r="J156" s="326"/>
      <c r="K156" s="326"/>
      <c r="L156" s="326"/>
      <c r="M156" s="326"/>
      <c r="N156" s="326"/>
      <c r="O156" s="326"/>
    </row>
    <row r="157" spans="1:15" ht="3.75" customHeight="1" thickBot="1" x14ac:dyDescent="0.3"/>
    <row r="158" spans="1:15" ht="15.75" customHeight="1" x14ac:dyDescent="0.25">
      <c r="A158" s="327" t="s">
        <v>56</v>
      </c>
      <c r="B158" s="322" t="s">
        <v>57</v>
      </c>
      <c r="C158" s="322" t="s">
        <v>58</v>
      </c>
      <c r="D158" s="322" t="s">
        <v>7</v>
      </c>
      <c r="E158" s="322" t="s">
        <v>59</v>
      </c>
      <c r="F158" s="322" t="s">
        <v>60</v>
      </c>
      <c r="G158" s="50" t="s">
        <v>61</v>
      </c>
      <c r="H158" s="327" t="s">
        <v>56</v>
      </c>
      <c r="I158" s="322" t="s">
        <v>57</v>
      </c>
      <c r="J158" s="322" t="s">
        <v>58</v>
      </c>
      <c r="K158" s="322" t="s">
        <v>7</v>
      </c>
      <c r="L158" s="322" t="s">
        <v>59</v>
      </c>
      <c r="M158" s="322" t="s">
        <v>60</v>
      </c>
      <c r="N158" s="322" t="s">
        <v>61</v>
      </c>
      <c r="O158" s="324"/>
    </row>
    <row r="159" spans="1:15" ht="15" customHeight="1" thickBot="1" x14ac:dyDescent="0.3">
      <c r="A159" s="328"/>
      <c r="B159" s="323"/>
      <c r="C159" s="323"/>
      <c r="D159" s="323"/>
      <c r="E159" s="323"/>
      <c r="F159" s="323"/>
      <c r="G159" s="51" t="s">
        <v>62</v>
      </c>
      <c r="H159" s="328"/>
      <c r="I159" s="323"/>
      <c r="J159" s="323"/>
      <c r="K159" s="323"/>
      <c r="L159" s="323"/>
      <c r="M159" s="323"/>
      <c r="N159" s="51" t="s">
        <v>62</v>
      </c>
      <c r="O159" s="52" t="s">
        <v>63</v>
      </c>
    </row>
    <row r="160" spans="1:15" ht="12" customHeight="1" x14ac:dyDescent="0.25">
      <c r="A160" s="318" t="e">
        <f>+#REF!+1</f>
        <v>#REF!</v>
      </c>
      <c r="B160" s="312">
        <v>42242</v>
      </c>
      <c r="C160" s="395" t="s">
        <v>117</v>
      </c>
      <c r="D160" s="318" t="s">
        <v>153</v>
      </c>
      <c r="E160" s="318" t="s">
        <v>5</v>
      </c>
      <c r="F160" s="320">
        <v>182000</v>
      </c>
      <c r="G160" s="53">
        <v>719</v>
      </c>
      <c r="H160" s="310" t="s">
        <v>154</v>
      </c>
      <c r="I160" s="312">
        <v>45832</v>
      </c>
      <c r="J160" s="314" t="s">
        <v>155</v>
      </c>
      <c r="K160" s="316" t="s">
        <v>156</v>
      </c>
      <c r="L160" s="318" t="s">
        <v>5</v>
      </c>
      <c r="M160" s="320">
        <v>1000000</v>
      </c>
      <c r="N160" s="53">
        <v>719</v>
      </c>
      <c r="O160" s="54">
        <v>0</v>
      </c>
    </row>
    <row r="161" spans="1:15" ht="15" customHeight="1" thickBot="1" x14ac:dyDescent="0.3">
      <c r="A161" s="319"/>
      <c r="B161" s="361"/>
      <c r="C161" s="396"/>
      <c r="D161" s="319"/>
      <c r="E161" s="319"/>
      <c r="F161" s="321"/>
      <c r="G161" s="55">
        <v>721</v>
      </c>
      <c r="H161" s="319"/>
      <c r="I161" s="313"/>
      <c r="J161" s="315"/>
      <c r="K161" s="317"/>
      <c r="L161" s="319"/>
      <c r="M161" s="321"/>
      <c r="N161" s="55">
        <v>723</v>
      </c>
      <c r="O161" s="56">
        <f>+M160-O160</f>
        <v>1000000</v>
      </c>
    </row>
    <row r="162" spans="1:15" ht="13.5" customHeight="1" x14ac:dyDescent="0.25">
      <c r="A162" s="57"/>
      <c r="B162" s="96"/>
      <c r="C162" s="97"/>
      <c r="D162" s="57"/>
      <c r="E162" s="57"/>
      <c r="F162" s="60"/>
      <c r="G162" s="61"/>
      <c r="H162" s="310" t="s">
        <v>157</v>
      </c>
      <c r="I162" s="312">
        <v>45832</v>
      </c>
      <c r="J162" s="314" t="s">
        <v>158</v>
      </c>
      <c r="K162" s="316" t="s">
        <v>159</v>
      </c>
      <c r="L162" s="318" t="s">
        <v>5</v>
      </c>
      <c r="M162" s="320">
        <v>1500000</v>
      </c>
      <c r="N162" s="53">
        <v>719</v>
      </c>
      <c r="O162" s="54">
        <v>0</v>
      </c>
    </row>
    <row r="163" spans="1:15" ht="15" customHeight="1" thickBot="1" x14ac:dyDescent="0.3">
      <c r="A163" s="57"/>
      <c r="B163" s="96"/>
      <c r="C163" s="97"/>
      <c r="D163" s="57"/>
      <c r="E163" s="57"/>
      <c r="F163" s="60"/>
      <c r="G163" s="61"/>
      <c r="H163" s="319"/>
      <c r="I163" s="313"/>
      <c r="J163" s="315"/>
      <c r="K163" s="317"/>
      <c r="L163" s="319"/>
      <c r="M163" s="321"/>
      <c r="N163" s="55">
        <v>723</v>
      </c>
      <c r="O163" s="56">
        <f>+M162-O162</f>
        <v>1500000</v>
      </c>
    </row>
    <row r="164" spans="1:15" ht="14.25" customHeight="1" x14ac:dyDescent="0.25">
      <c r="A164" s="318" t="e">
        <f>+A160+1</f>
        <v>#REF!</v>
      </c>
      <c r="B164" s="312">
        <v>42242</v>
      </c>
      <c r="C164" s="385" t="s">
        <v>70</v>
      </c>
      <c r="D164" s="318" t="s">
        <v>160</v>
      </c>
      <c r="E164" s="318" t="s">
        <v>5</v>
      </c>
      <c r="F164" s="320">
        <v>364000</v>
      </c>
      <c r="G164" s="53">
        <v>719</v>
      </c>
      <c r="H164" s="310" t="s">
        <v>161</v>
      </c>
      <c r="I164" s="312">
        <v>45832</v>
      </c>
      <c r="J164" s="314" t="s">
        <v>162</v>
      </c>
      <c r="K164" s="316" t="s">
        <v>163</v>
      </c>
      <c r="L164" s="318" t="s">
        <v>5</v>
      </c>
      <c r="M164" s="320">
        <v>7500000</v>
      </c>
      <c r="N164" s="53">
        <v>719</v>
      </c>
      <c r="O164" s="54">
        <v>0</v>
      </c>
    </row>
    <row r="165" spans="1:15" ht="13.5" customHeight="1" thickBot="1" x14ac:dyDescent="0.3">
      <c r="A165" s="319"/>
      <c r="B165" s="361"/>
      <c r="C165" s="386"/>
      <c r="D165" s="319"/>
      <c r="E165" s="319"/>
      <c r="F165" s="321"/>
      <c r="G165" s="55">
        <v>721</v>
      </c>
      <c r="H165" s="319"/>
      <c r="I165" s="313"/>
      <c r="J165" s="315"/>
      <c r="K165" s="317"/>
      <c r="L165" s="319"/>
      <c r="M165" s="321"/>
      <c r="N165" s="55">
        <v>723</v>
      </c>
      <c r="O165" s="56">
        <f>+M164-O164</f>
        <v>7500000</v>
      </c>
    </row>
    <row r="166" spans="1:15" ht="13.5" customHeight="1" x14ac:dyDescent="0.25">
      <c r="A166" s="57"/>
      <c r="B166" s="96"/>
      <c r="C166" s="59"/>
      <c r="D166" s="57"/>
      <c r="E166" s="57"/>
      <c r="F166" s="60"/>
      <c r="G166" s="61"/>
      <c r="H166" s="310" t="s">
        <v>164</v>
      </c>
      <c r="I166" s="312">
        <v>45832</v>
      </c>
      <c r="J166" s="335" t="s">
        <v>165</v>
      </c>
      <c r="K166" s="316" t="s">
        <v>166</v>
      </c>
      <c r="L166" s="318" t="s">
        <v>5</v>
      </c>
      <c r="M166" s="320">
        <v>500000</v>
      </c>
      <c r="N166" s="53">
        <v>719</v>
      </c>
      <c r="O166" s="54">
        <v>0</v>
      </c>
    </row>
    <row r="167" spans="1:15" ht="13.5" customHeight="1" thickBot="1" x14ac:dyDescent="0.3">
      <c r="A167" s="57"/>
      <c r="B167" s="96"/>
      <c r="C167" s="59"/>
      <c r="D167" s="57"/>
      <c r="E167" s="57"/>
      <c r="F167" s="60"/>
      <c r="G167" s="61"/>
      <c r="H167" s="319"/>
      <c r="I167" s="313"/>
      <c r="J167" s="336"/>
      <c r="K167" s="317"/>
      <c r="L167" s="319"/>
      <c r="M167" s="321"/>
      <c r="N167" s="55">
        <v>723</v>
      </c>
      <c r="O167" s="56">
        <f>+M166-O166</f>
        <v>500000</v>
      </c>
    </row>
    <row r="168" spans="1:15" ht="12" customHeight="1" x14ac:dyDescent="0.25">
      <c r="A168" s="318" t="e">
        <f>+A164+1</f>
        <v>#REF!</v>
      </c>
      <c r="B168" s="312">
        <v>42242</v>
      </c>
      <c r="C168" s="395" t="s">
        <v>106</v>
      </c>
      <c r="D168" s="318" t="s">
        <v>167</v>
      </c>
      <c r="E168" s="318" t="s">
        <v>5</v>
      </c>
      <c r="F168" s="320">
        <v>84000</v>
      </c>
      <c r="G168" s="53">
        <v>719</v>
      </c>
      <c r="H168" s="310" t="s">
        <v>168</v>
      </c>
      <c r="I168" s="312">
        <v>45832</v>
      </c>
      <c r="J168" s="314" t="s">
        <v>169</v>
      </c>
      <c r="K168" s="316" t="s">
        <v>170</v>
      </c>
      <c r="L168" s="318" t="s">
        <v>5</v>
      </c>
      <c r="M168" s="320">
        <v>1500000</v>
      </c>
      <c r="N168" s="53">
        <v>719</v>
      </c>
      <c r="O168" s="54">
        <v>0</v>
      </c>
    </row>
    <row r="169" spans="1:15" ht="12.75" customHeight="1" thickBot="1" x14ac:dyDescent="0.3">
      <c r="A169" s="319"/>
      <c r="B169" s="361"/>
      <c r="C169" s="396"/>
      <c r="D169" s="319"/>
      <c r="E169" s="319"/>
      <c r="F169" s="321"/>
      <c r="G169" s="55">
        <v>721</v>
      </c>
      <c r="H169" s="319"/>
      <c r="I169" s="313"/>
      <c r="J169" s="315"/>
      <c r="K169" s="317"/>
      <c r="L169" s="319"/>
      <c r="M169" s="321"/>
      <c r="N169" s="55">
        <v>723</v>
      </c>
      <c r="O169" s="56">
        <f>+M168-O168</f>
        <v>1500000</v>
      </c>
    </row>
    <row r="170" spans="1:15" ht="17.25" customHeight="1" thickBot="1" x14ac:dyDescent="0.3">
      <c r="A170" s="297" t="s">
        <v>80</v>
      </c>
      <c r="B170" s="298"/>
      <c r="C170" s="298"/>
      <c r="D170" s="298"/>
      <c r="E170" s="299"/>
      <c r="F170" s="62">
        <f>SUM(F160:F169)</f>
        <v>630000</v>
      </c>
      <c r="H170" s="297" t="s">
        <v>80</v>
      </c>
      <c r="I170" s="298"/>
      <c r="J170" s="298"/>
      <c r="K170" s="298"/>
      <c r="L170" s="299"/>
      <c r="M170" s="62">
        <f>SUM(M160:M169)</f>
        <v>12000000</v>
      </c>
    </row>
    <row r="171" spans="1:15" ht="16.5" thickBot="1" x14ac:dyDescent="0.3">
      <c r="A171" s="300" t="s">
        <v>81</v>
      </c>
      <c r="B171" s="301"/>
      <c r="C171" s="301"/>
      <c r="D171" s="301"/>
      <c r="E171" s="302"/>
      <c r="F171" s="63" t="e">
        <f>+F135</f>
        <v>#REF!</v>
      </c>
      <c r="H171" s="300" t="s">
        <v>81</v>
      </c>
      <c r="I171" s="301"/>
      <c r="J171" s="301"/>
      <c r="K171" s="301"/>
      <c r="L171" s="302"/>
      <c r="M171" s="106">
        <f>+M135</f>
        <v>209169432</v>
      </c>
      <c r="N171" s="64" t="s">
        <v>82</v>
      </c>
      <c r="O171" s="65"/>
    </row>
    <row r="172" spans="1:15" ht="15.75" customHeight="1" thickBot="1" x14ac:dyDescent="0.3">
      <c r="A172" s="303" t="s">
        <v>83</v>
      </c>
      <c r="B172" s="304"/>
      <c r="C172" s="304"/>
      <c r="D172" s="304"/>
      <c r="E172" s="305"/>
      <c r="F172" s="107" t="e">
        <f>SUM(F170:F171)</f>
        <v>#REF!</v>
      </c>
      <c r="H172" s="303" t="s">
        <v>83</v>
      </c>
      <c r="I172" s="304"/>
      <c r="J172" s="304"/>
      <c r="K172" s="304"/>
      <c r="L172" s="305"/>
      <c r="M172" s="66">
        <f>SUM(M170:M171)</f>
        <v>221169432</v>
      </c>
    </row>
    <row r="173" spans="1:15" ht="6.75" customHeight="1" x14ac:dyDescent="0.25">
      <c r="A173" s="67"/>
      <c r="B173" s="67"/>
      <c r="C173" s="67"/>
      <c r="D173" s="67"/>
      <c r="E173" s="67"/>
      <c r="H173" s="67"/>
      <c r="I173" s="67"/>
      <c r="J173" s="67"/>
      <c r="K173" s="67"/>
      <c r="L173" s="67"/>
    </row>
    <row r="174" spans="1:15" ht="13.5" customHeight="1" x14ac:dyDescent="0.25">
      <c r="A174" s="41" t="s">
        <v>171</v>
      </c>
      <c r="H174" s="41" t="s">
        <v>172</v>
      </c>
    </row>
    <row r="175" spans="1:15" ht="3" customHeight="1" x14ac:dyDescent="0.25">
      <c r="F175" s="68"/>
      <c r="M175" s="68"/>
    </row>
    <row r="176" spans="1:15" ht="15.75" customHeight="1" x14ac:dyDescent="0.25">
      <c r="A176" s="40" t="s">
        <v>86</v>
      </c>
      <c r="D176" s="69"/>
      <c r="H176" s="108" t="s">
        <v>86</v>
      </c>
      <c r="K176" s="69"/>
      <c r="M176" s="68"/>
    </row>
    <row r="177" spans="1:15" ht="6" customHeight="1" thickBot="1" x14ac:dyDescent="0.3"/>
    <row r="178" spans="1:15" ht="17.25" thickBot="1" x14ac:dyDescent="0.35">
      <c r="A178" s="306" t="s">
        <v>87</v>
      </c>
      <c r="B178" s="307"/>
      <c r="C178" s="307"/>
      <c r="D178" s="308"/>
      <c r="F178" s="40" t="s">
        <v>88</v>
      </c>
      <c r="H178" s="306" t="s">
        <v>87</v>
      </c>
      <c r="I178" s="307"/>
      <c r="J178" s="307"/>
      <c r="K178" s="308"/>
      <c r="M178" s="350" t="s">
        <v>89</v>
      </c>
      <c r="N178" s="350"/>
      <c r="O178" s="350"/>
    </row>
    <row r="179" spans="1:15" ht="31.5" thickBot="1" x14ac:dyDescent="0.35">
      <c r="A179" s="70" t="s">
        <v>62</v>
      </c>
      <c r="B179" s="71" t="s">
        <v>90</v>
      </c>
      <c r="C179" s="72" t="s">
        <v>91</v>
      </c>
      <c r="D179" s="73" t="s">
        <v>92</v>
      </c>
      <c r="H179" s="70" t="s">
        <v>62</v>
      </c>
      <c r="I179" s="71" t="s">
        <v>90</v>
      </c>
      <c r="J179" s="72" t="s">
        <v>91</v>
      </c>
      <c r="K179" s="73" t="s">
        <v>92</v>
      </c>
      <c r="M179" s="6"/>
      <c r="N179" s="6"/>
      <c r="O179" s="6"/>
    </row>
    <row r="180" spans="1:15" ht="12.75" customHeight="1" x14ac:dyDescent="0.3">
      <c r="A180" s="75">
        <v>719</v>
      </c>
      <c r="B180" s="76" t="e">
        <f>+#REF!+#REF!+#REF!+#REF!+#REF!</f>
        <v>#REF!</v>
      </c>
      <c r="C180" s="77" t="e">
        <f>+D143</f>
        <v>#REF!</v>
      </c>
      <c r="D180" s="78" t="e">
        <f>+B180+C180</f>
        <v>#REF!</v>
      </c>
      <c r="H180" s="75">
        <v>719</v>
      </c>
      <c r="I180" s="76">
        <f>+O160+O162+O164+O166+O168</f>
        <v>0</v>
      </c>
      <c r="J180" s="77">
        <f>+K143</f>
        <v>12720000</v>
      </c>
      <c r="K180" s="79">
        <f>+I180+J180</f>
        <v>12720000</v>
      </c>
      <c r="M180" s="6"/>
      <c r="N180" s="6"/>
      <c r="O180" s="6"/>
    </row>
    <row r="181" spans="1:15" ht="12" customHeight="1" x14ac:dyDescent="0.3">
      <c r="A181" s="80">
        <v>721</v>
      </c>
      <c r="B181" s="81" t="e">
        <f>+#REF!+#REF!+#REF!+#REF!+#REF!</f>
        <v>#REF!</v>
      </c>
      <c r="C181" s="77" t="e">
        <f>+D144</f>
        <v>#REF!</v>
      </c>
      <c r="D181" s="78" t="e">
        <f>+B181+C181</f>
        <v>#REF!</v>
      </c>
      <c r="H181" s="80">
        <v>721</v>
      </c>
      <c r="I181" s="81"/>
      <c r="J181" s="77">
        <f>+K144</f>
        <v>1505000</v>
      </c>
      <c r="K181" s="79">
        <f>+I181+J181</f>
        <v>1505000</v>
      </c>
      <c r="M181" s="6"/>
      <c r="N181" s="6"/>
      <c r="O181" s="6"/>
    </row>
    <row r="182" spans="1:15" ht="14.25" customHeight="1" x14ac:dyDescent="0.25">
      <c r="A182" s="80">
        <v>722</v>
      </c>
      <c r="B182" s="81"/>
      <c r="C182" s="77">
        <f>+D145</f>
        <v>224787287</v>
      </c>
      <c r="D182" s="78">
        <f>+B182+C182</f>
        <v>224787287</v>
      </c>
      <c r="H182" s="80">
        <v>722</v>
      </c>
      <c r="I182" s="81"/>
      <c r="J182" s="77">
        <f>+K145</f>
        <v>0</v>
      </c>
      <c r="K182" s="79">
        <f>+I182+J182</f>
        <v>0</v>
      </c>
      <c r="M182" s="343"/>
      <c r="N182" s="275"/>
      <c r="O182" s="275"/>
    </row>
    <row r="183" spans="1:15" ht="16.5" customHeight="1" thickBot="1" x14ac:dyDescent="0.3">
      <c r="A183" s="80">
        <v>723</v>
      </c>
      <c r="B183" s="81"/>
      <c r="C183" s="77">
        <f>+D146</f>
        <v>319828837</v>
      </c>
      <c r="D183" s="78">
        <f>+B183+C183</f>
        <v>319828837</v>
      </c>
      <c r="F183" s="83" t="s">
        <v>93</v>
      </c>
      <c r="H183" s="80">
        <v>723</v>
      </c>
      <c r="I183" s="81">
        <f>+M170</f>
        <v>12000000</v>
      </c>
      <c r="J183" s="77">
        <f>+K146</f>
        <v>194944432</v>
      </c>
      <c r="K183" s="79">
        <f>+I183+J183</f>
        <v>206944432</v>
      </c>
      <c r="M183" s="109"/>
      <c r="N183" s="84"/>
    </row>
    <row r="184" spans="1:15" ht="12.75" hidden="1" customHeight="1" x14ac:dyDescent="0.25">
      <c r="A184" s="85" t="s">
        <v>94</v>
      </c>
      <c r="B184" s="86"/>
      <c r="C184" s="77">
        <f>+D147</f>
        <v>1965625</v>
      </c>
      <c r="D184" s="88">
        <f>+B184+C184</f>
        <v>1965625</v>
      </c>
      <c r="F184" s="45"/>
      <c r="H184" s="85" t="s">
        <v>94</v>
      </c>
      <c r="I184" s="86"/>
      <c r="J184" s="77">
        <f>+K147</f>
        <v>0</v>
      </c>
      <c r="K184" s="89">
        <f>+I184+J184</f>
        <v>0</v>
      </c>
      <c r="M184" s="45"/>
    </row>
    <row r="185" spans="1:15" ht="16.5" thickBot="1" x14ac:dyDescent="0.3">
      <c r="A185" s="90"/>
      <c r="B185" s="91" t="e">
        <f>SUM(B180:B184)</f>
        <v>#REF!</v>
      </c>
      <c r="C185" s="92" t="e">
        <f>SUM(C180:C184)</f>
        <v>#REF!</v>
      </c>
      <c r="D185" s="93" t="e">
        <f>SUM(D180:D184)</f>
        <v>#REF!</v>
      </c>
      <c r="H185" s="90"/>
      <c r="I185" s="94">
        <f>SUM(I180:I184)</f>
        <v>12000000</v>
      </c>
      <c r="J185" s="94">
        <f>SUM(J180:J184)</f>
        <v>209169432</v>
      </c>
      <c r="K185" s="95">
        <f>SUM(K180:K184)</f>
        <v>221169432</v>
      </c>
    </row>
    <row r="186" spans="1:15" ht="16.5" x14ac:dyDescent="0.25">
      <c r="A186" s="39" t="s">
        <v>46</v>
      </c>
      <c r="B186" s="40"/>
      <c r="H186" s="39" t="s">
        <v>46</v>
      </c>
      <c r="I186" s="40"/>
    </row>
    <row r="187" spans="1:15" ht="11.25" customHeight="1" x14ac:dyDescent="0.25">
      <c r="A187" s="41" t="s">
        <v>47</v>
      </c>
      <c r="H187" s="41" t="s">
        <v>47</v>
      </c>
    </row>
    <row r="188" spans="1:15" ht="12.75" customHeight="1" x14ac:dyDescent="0.25">
      <c r="A188" s="41" t="s">
        <v>48</v>
      </c>
      <c r="H188" s="41" t="s">
        <v>48</v>
      </c>
    </row>
    <row r="189" spans="1:15" ht="12.75" customHeight="1" x14ac:dyDescent="0.25">
      <c r="A189" s="41" t="s">
        <v>49</v>
      </c>
      <c r="H189" s="41" t="s">
        <v>49</v>
      </c>
    </row>
    <row r="190" spans="1:15" ht="3.75" customHeight="1" x14ac:dyDescent="0.25">
      <c r="A190" s="40"/>
      <c r="B190" s="40"/>
      <c r="H190" s="40"/>
      <c r="I190" s="40"/>
    </row>
    <row r="191" spans="1:15" ht="15" customHeight="1" x14ac:dyDescent="0.25">
      <c r="A191" s="45" t="s">
        <v>173</v>
      </c>
      <c r="G191" s="45"/>
      <c r="H191" s="45" t="s">
        <v>174</v>
      </c>
      <c r="N191" s="45"/>
    </row>
    <row r="192" spans="1:15" ht="15.75" x14ac:dyDescent="0.25">
      <c r="A192" s="47" t="s">
        <v>52</v>
      </c>
      <c r="G192" s="47"/>
      <c r="H192" s="47" t="s">
        <v>97</v>
      </c>
      <c r="N192" s="47"/>
    </row>
    <row r="193" spans="1:17" ht="14.25" customHeight="1" x14ac:dyDescent="0.25">
      <c r="A193" s="326" t="s">
        <v>175</v>
      </c>
      <c r="B193" s="326"/>
      <c r="C193" s="326"/>
      <c r="D193" s="326"/>
      <c r="E193" s="326"/>
      <c r="F193" s="326"/>
      <c r="G193" s="326"/>
      <c r="H193" s="326" t="s">
        <v>152</v>
      </c>
      <c r="I193" s="326"/>
      <c r="J193" s="326"/>
      <c r="K193" s="326"/>
      <c r="L193" s="326"/>
      <c r="M193" s="326"/>
      <c r="N193" s="326"/>
      <c r="O193" s="326"/>
    </row>
    <row r="194" spans="1:17" ht="4.5" customHeight="1" thickBot="1" x14ac:dyDescent="0.3"/>
    <row r="195" spans="1:17" x14ac:dyDescent="0.25">
      <c r="A195" s="327" t="s">
        <v>56</v>
      </c>
      <c r="B195" s="322" t="s">
        <v>57</v>
      </c>
      <c r="C195" s="322" t="s">
        <v>58</v>
      </c>
      <c r="D195" s="322" t="s">
        <v>7</v>
      </c>
      <c r="E195" s="322" t="s">
        <v>59</v>
      </c>
      <c r="F195" s="322" t="s">
        <v>60</v>
      </c>
      <c r="G195" s="50" t="s">
        <v>61</v>
      </c>
      <c r="H195" s="327" t="s">
        <v>56</v>
      </c>
      <c r="I195" s="322" t="s">
        <v>57</v>
      </c>
      <c r="J195" s="322" t="s">
        <v>58</v>
      </c>
      <c r="K195" s="322" t="s">
        <v>7</v>
      </c>
      <c r="L195" s="322" t="s">
        <v>59</v>
      </c>
      <c r="M195" s="322" t="s">
        <v>60</v>
      </c>
      <c r="N195" s="322" t="s">
        <v>61</v>
      </c>
      <c r="O195" s="324"/>
    </row>
    <row r="196" spans="1:17" ht="15.75" thickBot="1" x14ac:dyDescent="0.3">
      <c r="A196" s="328"/>
      <c r="B196" s="323"/>
      <c r="C196" s="323"/>
      <c r="D196" s="323"/>
      <c r="E196" s="323"/>
      <c r="F196" s="323"/>
      <c r="G196" s="51" t="s">
        <v>62</v>
      </c>
      <c r="H196" s="328"/>
      <c r="I196" s="323"/>
      <c r="J196" s="323"/>
      <c r="K196" s="323"/>
      <c r="L196" s="323"/>
      <c r="M196" s="323"/>
      <c r="N196" s="51" t="s">
        <v>62</v>
      </c>
      <c r="O196" s="52" t="s">
        <v>63</v>
      </c>
    </row>
    <row r="197" spans="1:17" ht="12.75" customHeight="1" x14ac:dyDescent="0.25">
      <c r="A197" s="318" t="e">
        <f>+#REF!+1</f>
        <v>#REF!</v>
      </c>
      <c r="B197" s="312">
        <v>42243</v>
      </c>
      <c r="C197" s="395" t="s">
        <v>64</v>
      </c>
      <c r="D197" s="318" t="s">
        <v>176</v>
      </c>
      <c r="E197" s="318" t="s">
        <v>66</v>
      </c>
      <c r="F197" s="320">
        <v>120000</v>
      </c>
      <c r="G197" s="53">
        <v>719</v>
      </c>
      <c r="H197" s="310" t="s">
        <v>177</v>
      </c>
      <c r="I197" s="312">
        <v>45832</v>
      </c>
      <c r="J197" s="314" t="s">
        <v>178</v>
      </c>
      <c r="K197" s="318" t="s">
        <v>179</v>
      </c>
      <c r="L197" s="318" t="s">
        <v>5</v>
      </c>
      <c r="M197" s="320">
        <v>1000000</v>
      </c>
      <c r="N197" s="53">
        <v>719</v>
      </c>
      <c r="O197" s="54"/>
    </row>
    <row r="198" spans="1:17" ht="15" customHeight="1" thickBot="1" x14ac:dyDescent="0.3">
      <c r="A198" s="319"/>
      <c r="B198" s="361"/>
      <c r="C198" s="396"/>
      <c r="D198" s="319"/>
      <c r="E198" s="319"/>
      <c r="F198" s="321"/>
      <c r="G198" s="55">
        <v>721</v>
      </c>
      <c r="H198" s="311"/>
      <c r="I198" s="313"/>
      <c r="J198" s="315"/>
      <c r="K198" s="319"/>
      <c r="L198" s="319"/>
      <c r="M198" s="321"/>
      <c r="N198" s="55">
        <v>723</v>
      </c>
      <c r="O198" s="56">
        <f>+M197</f>
        <v>1000000</v>
      </c>
    </row>
    <row r="199" spans="1:17" ht="12.75" customHeight="1" x14ac:dyDescent="0.25">
      <c r="A199" s="318" t="e">
        <f>+A197+1</f>
        <v>#REF!</v>
      </c>
      <c r="B199" s="312">
        <v>42243</v>
      </c>
      <c r="C199" s="385" t="s">
        <v>70</v>
      </c>
      <c r="D199" s="318" t="s">
        <v>180</v>
      </c>
      <c r="E199" s="318" t="s">
        <v>66</v>
      </c>
      <c r="F199" s="320">
        <v>50000</v>
      </c>
      <c r="G199" s="53">
        <v>719</v>
      </c>
      <c r="H199" s="310" t="s">
        <v>181</v>
      </c>
      <c r="I199" s="312">
        <v>45832</v>
      </c>
      <c r="J199" s="397" t="s">
        <v>182</v>
      </c>
      <c r="K199" s="318" t="s">
        <v>183</v>
      </c>
      <c r="L199" s="318" t="s">
        <v>5</v>
      </c>
      <c r="M199" s="399">
        <v>1000000</v>
      </c>
      <c r="N199" s="53">
        <v>719</v>
      </c>
      <c r="O199" s="54"/>
    </row>
    <row r="200" spans="1:17" ht="15" customHeight="1" thickBot="1" x14ac:dyDescent="0.3">
      <c r="A200" s="319"/>
      <c r="B200" s="361"/>
      <c r="C200" s="386"/>
      <c r="D200" s="319"/>
      <c r="E200" s="319"/>
      <c r="F200" s="321"/>
      <c r="G200" s="55">
        <v>721</v>
      </c>
      <c r="H200" s="311"/>
      <c r="I200" s="313"/>
      <c r="J200" s="398"/>
      <c r="K200" s="319"/>
      <c r="L200" s="319"/>
      <c r="M200" s="400"/>
      <c r="N200" s="55">
        <v>723</v>
      </c>
      <c r="O200" s="56">
        <f>+M199</f>
        <v>1000000</v>
      </c>
    </row>
    <row r="201" spans="1:17" ht="14.25" customHeight="1" thickBot="1" x14ac:dyDescent="0.3">
      <c r="A201" s="318" t="e">
        <f>+A199+1</f>
        <v>#REF!</v>
      </c>
      <c r="B201" s="312">
        <v>42243</v>
      </c>
      <c r="C201" s="314" t="s">
        <v>184</v>
      </c>
      <c r="D201" s="314" t="s">
        <v>185</v>
      </c>
      <c r="E201" s="318" t="s">
        <v>186</v>
      </c>
      <c r="F201" s="320">
        <v>4280256</v>
      </c>
      <c r="G201" s="53">
        <v>719</v>
      </c>
      <c r="H201" s="310" t="s">
        <v>187</v>
      </c>
      <c r="I201" s="312">
        <v>45832</v>
      </c>
      <c r="J201" s="314" t="s">
        <v>188</v>
      </c>
      <c r="K201" s="318" t="s">
        <v>189</v>
      </c>
      <c r="L201" s="318" t="s">
        <v>66</v>
      </c>
      <c r="M201" s="320">
        <f>688500+513000</f>
        <v>1201500</v>
      </c>
      <c r="N201" s="53">
        <v>719</v>
      </c>
      <c r="O201" s="54">
        <v>890000</v>
      </c>
      <c r="P201" s="41" t="s">
        <v>190</v>
      </c>
    </row>
    <row r="202" spans="1:17" ht="12.75" customHeight="1" thickBot="1" x14ac:dyDescent="0.3">
      <c r="A202" s="319"/>
      <c r="B202" s="361"/>
      <c r="C202" s="315"/>
      <c r="D202" s="315"/>
      <c r="E202" s="319"/>
      <c r="F202" s="321"/>
      <c r="G202" s="55">
        <v>722</v>
      </c>
      <c r="H202" s="311"/>
      <c r="I202" s="313"/>
      <c r="J202" s="315"/>
      <c r="K202" s="319"/>
      <c r="L202" s="319"/>
      <c r="M202" s="321"/>
      <c r="N202" s="55">
        <v>721</v>
      </c>
      <c r="O202" s="56">
        <f>+M201-O201</f>
        <v>311500</v>
      </c>
      <c r="Q202" s="314"/>
    </row>
    <row r="203" spans="1:17" ht="13.5" customHeight="1" thickBot="1" x14ac:dyDescent="0.3">
      <c r="A203" s="318" t="e">
        <f>+A201+1</f>
        <v>#REF!</v>
      </c>
      <c r="B203" s="312">
        <v>42243</v>
      </c>
      <c r="C203" s="314" t="s">
        <v>191</v>
      </c>
      <c r="D203" s="314" t="s">
        <v>185</v>
      </c>
      <c r="E203" s="318" t="s">
        <v>186</v>
      </c>
      <c r="F203" s="320">
        <v>2140128</v>
      </c>
      <c r="G203" s="53">
        <v>719</v>
      </c>
      <c r="H203" s="310" t="s">
        <v>192</v>
      </c>
      <c r="I203" s="312">
        <v>45832</v>
      </c>
      <c r="J203" s="314" t="s">
        <v>193</v>
      </c>
      <c r="K203" s="318" t="s">
        <v>194</v>
      </c>
      <c r="L203" s="318" t="s">
        <v>66</v>
      </c>
      <c r="M203" s="320">
        <v>1228500</v>
      </c>
      <c r="N203" s="53">
        <v>719</v>
      </c>
      <c r="O203" s="54">
        <v>910000</v>
      </c>
      <c r="Q203" s="315"/>
    </row>
    <row r="204" spans="1:17" ht="15" customHeight="1" thickBot="1" x14ac:dyDescent="0.3">
      <c r="A204" s="319"/>
      <c r="B204" s="361"/>
      <c r="C204" s="315"/>
      <c r="D204" s="315"/>
      <c r="E204" s="319"/>
      <c r="F204" s="321"/>
      <c r="G204" s="55">
        <v>722</v>
      </c>
      <c r="H204" s="311"/>
      <c r="I204" s="313"/>
      <c r="J204" s="315"/>
      <c r="K204" s="319"/>
      <c r="L204" s="319"/>
      <c r="M204" s="321"/>
      <c r="N204" s="55">
        <v>721</v>
      </c>
      <c r="O204" s="56">
        <f>+M203-O203</f>
        <v>318500</v>
      </c>
    </row>
    <row r="205" spans="1:17" ht="15" customHeight="1" x14ac:dyDescent="0.25">
      <c r="A205" s="318"/>
      <c r="B205" s="312"/>
      <c r="C205" s="385"/>
      <c r="D205" s="314"/>
      <c r="E205" s="318"/>
      <c r="F205" s="320"/>
      <c r="G205" s="53">
        <v>719</v>
      </c>
      <c r="H205" s="310" t="s">
        <v>195</v>
      </c>
      <c r="I205" s="312">
        <v>45832</v>
      </c>
      <c r="J205" s="314" t="s">
        <v>193</v>
      </c>
      <c r="K205" s="318" t="s">
        <v>196</v>
      </c>
      <c r="L205" s="318" t="s">
        <v>66</v>
      </c>
      <c r="M205" s="320">
        <v>1188000</v>
      </c>
      <c r="N205" s="53">
        <v>719</v>
      </c>
      <c r="O205" s="54">
        <v>880000</v>
      </c>
    </row>
    <row r="206" spans="1:17" ht="14.25" customHeight="1" thickBot="1" x14ac:dyDescent="0.3">
      <c r="A206" s="319"/>
      <c r="B206" s="361"/>
      <c r="C206" s="386"/>
      <c r="D206" s="315"/>
      <c r="E206" s="319"/>
      <c r="F206" s="321"/>
      <c r="G206" s="55">
        <v>721</v>
      </c>
      <c r="H206" s="311"/>
      <c r="I206" s="313"/>
      <c r="J206" s="315"/>
      <c r="K206" s="319"/>
      <c r="L206" s="319"/>
      <c r="M206" s="321"/>
      <c r="N206" s="55">
        <v>721</v>
      </c>
      <c r="O206" s="56">
        <f>+M205-O205</f>
        <v>308000</v>
      </c>
    </row>
    <row r="207" spans="1:17" ht="15" customHeight="1" thickBot="1" x14ac:dyDescent="0.3">
      <c r="A207" s="297" t="s">
        <v>80</v>
      </c>
      <c r="B207" s="298"/>
      <c r="C207" s="298"/>
      <c r="D207" s="298"/>
      <c r="E207" s="299"/>
      <c r="F207" s="62">
        <f>SUM(F197:F206)</f>
        <v>6590384</v>
      </c>
      <c r="H207" s="297" t="s">
        <v>80</v>
      </c>
      <c r="I207" s="298"/>
      <c r="J207" s="298"/>
      <c r="K207" s="298"/>
      <c r="L207" s="299"/>
      <c r="M207" s="62">
        <f>SUM(M197:M206)</f>
        <v>5618000</v>
      </c>
    </row>
    <row r="208" spans="1:17" ht="15.75" customHeight="1" thickBot="1" x14ac:dyDescent="0.3">
      <c r="A208" s="300" t="s">
        <v>81</v>
      </c>
      <c r="B208" s="301"/>
      <c r="C208" s="301"/>
      <c r="D208" s="301"/>
      <c r="E208" s="302"/>
      <c r="F208" s="63" t="e">
        <f>+F172</f>
        <v>#REF!</v>
      </c>
      <c r="H208" s="300" t="s">
        <v>81</v>
      </c>
      <c r="I208" s="301"/>
      <c r="J208" s="301"/>
      <c r="K208" s="301"/>
      <c r="L208" s="302"/>
      <c r="M208" s="106">
        <f>+M172</f>
        <v>221169432</v>
      </c>
      <c r="N208" s="64" t="s">
        <v>82</v>
      </c>
      <c r="O208" s="65">
        <f>1655+2083+772+750</f>
        <v>5260</v>
      </c>
    </row>
    <row r="209" spans="1:15" ht="14.25" customHeight="1" thickBot="1" x14ac:dyDescent="0.3">
      <c r="A209" s="303" t="s">
        <v>83</v>
      </c>
      <c r="B209" s="304"/>
      <c r="C209" s="304"/>
      <c r="D209" s="304"/>
      <c r="E209" s="305"/>
      <c r="F209" s="66" t="e">
        <f>SUM(F207:F208)</f>
        <v>#REF!</v>
      </c>
      <c r="H209" s="303" t="s">
        <v>83</v>
      </c>
      <c r="I209" s="304"/>
      <c r="J209" s="304"/>
      <c r="K209" s="304"/>
      <c r="L209" s="305"/>
      <c r="M209" s="66">
        <f>SUM(M207:M208)</f>
        <v>226787432</v>
      </c>
    </row>
    <row r="210" spans="1:15" ht="7.5" customHeight="1" x14ac:dyDescent="0.25">
      <c r="A210" s="67"/>
      <c r="B210" s="67"/>
      <c r="C210" s="67"/>
      <c r="D210" s="67"/>
      <c r="E210" s="67"/>
      <c r="H210" s="67"/>
      <c r="I210" s="67"/>
      <c r="J210" s="67"/>
      <c r="K210" s="67"/>
      <c r="L210" s="67"/>
    </row>
    <row r="211" spans="1:15" x14ac:dyDescent="0.25">
      <c r="A211" s="41" t="s">
        <v>197</v>
      </c>
      <c r="H211" s="41" t="s">
        <v>198</v>
      </c>
    </row>
    <row r="212" spans="1:15" ht="4.5" customHeight="1" x14ac:dyDescent="0.25">
      <c r="F212" s="68"/>
      <c r="M212" s="68"/>
    </row>
    <row r="213" spans="1:15" ht="12.75" customHeight="1" x14ac:dyDescent="0.25">
      <c r="A213" s="40" t="s">
        <v>86</v>
      </c>
      <c r="D213" s="69"/>
      <c r="F213" s="68"/>
      <c r="H213" s="40" t="s">
        <v>86</v>
      </c>
      <c r="K213" s="69"/>
      <c r="M213" s="68"/>
    </row>
    <row r="214" spans="1:15" ht="5.25" customHeight="1" thickBot="1" x14ac:dyDescent="0.3"/>
    <row r="215" spans="1:15" ht="17.25" thickBot="1" x14ac:dyDescent="0.35">
      <c r="A215" s="306" t="s">
        <v>87</v>
      </c>
      <c r="B215" s="307"/>
      <c r="C215" s="307"/>
      <c r="D215" s="308"/>
      <c r="F215" s="40" t="s">
        <v>88</v>
      </c>
      <c r="H215" s="306" t="s">
        <v>87</v>
      </c>
      <c r="I215" s="307"/>
      <c r="J215" s="307"/>
      <c r="K215" s="308"/>
      <c r="M215" s="350" t="s">
        <v>89</v>
      </c>
      <c r="N215" s="350"/>
      <c r="O215" s="350"/>
    </row>
    <row r="216" spans="1:15" ht="30" customHeight="1" thickBot="1" x14ac:dyDescent="0.35">
      <c r="A216" s="70" t="s">
        <v>62</v>
      </c>
      <c r="B216" s="71" t="s">
        <v>90</v>
      </c>
      <c r="C216" s="72" t="s">
        <v>91</v>
      </c>
      <c r="D216" s="73" t="s">
        <v>92</v>
      </c>
      <c r="H216" s="70" t="s">
        <v>62</v>
      </c>
      <c r="I216" s="71" t="s">
        <v>90</v>
      </c>
      <c r="J216" s="98" t="s">
        <v>91</v>
      </c>
      <c r="K216" s="73" t="s">
        <v>92</v>
      </c>
      <c r="M216" s="6"/>
      <c r="N216" s="6"/>
      <c r="O216" s="6"/>
    </row>
    <row r="217" spans="1:15" ht="14.25" customHeight="1" x14ac:dyDescent="0.3">
      <c r="A217" s="75">
        <v>719</v>
      </c>
      <c r="B217" s="76" t="e">
        <f>+#REF!+#REF!</f>
        <v>#REF!</v>
      </c>
      <c r="C217" s="77" t="e">
        <f>+D180</f>
        <v>#REF!</v>
      </c>
      <c r="D217" s="78" t="e">
        <f>+B217+C217</f>
        <v>#REF!</v>
      </c>
      <c r="H217" s="75">
        <v>719</v>
      </c>
      <c r="I217" s="76">
        <f>+O201+O203+O205</f>
        <v>2680000</v>
      </c>
      <c r="J217" s="77">
        <f>+K180</f>
        <v>12720000</v>
      </c>
      <c r="K217" s="79">
        <f>+I217+J217</f>
        <v>15400000</v>
      </c>
      <c r="M217" s="6"/>
      <c r="N217" s="6"/>
      <c r="O217" s="6"/>
    </row>
    <row r="218" spans="1:15" ht="15" customHeight="1" x14ac:dyDescent="0.3">
      <c r="A218" s="80">
        <v>721</v>
      </c>
      <c r="B218" s="81"/>
      <c r="C218" s="77" t="e">
        <f>+D181</f>
        <v>#REF!</v>
      </c>
      <c r="D218" s="78" t="e">
        <f>+B218+C218</f>
        <v>#REF!</v>
      </c>
      <c r="H218" s="80">
        <v>721</v>
      </c>
      <c r="I218" s="81">
        <f>+O206+O204+O202</f>
        <v>938000</v>
      </c>
      <c r="J218" s="77">
        <f>+K181</f>
        <v>1505000</v>
      </c>
      <c r="K218" s="79">
        <f>+I218+J218</f>
        <v>2443000</v>
      </c>
      <c r="M218" s="6"/>
      <c r="N218" s="6"/>
      <c r="O218" s="6"/>
    </row>
    <row r="219" spans="1:15" ht="12.75" customHeight="1" x14ac:dyDescent="0.3">
      <c r="A219" s="80">
        <v>722</v>
      </c>
      <c r="B219" s="81" t="e">
        <f>+#REF!+#REF!</f>
        <v>#REF!</v>
      </c>
      <c r="C219" s="77">
        <f>+D182</f>
        <v>224787287</v>
      </c>
      <c r="D219" s="78" t="e">
        <f>+B219+C219</f>
        <v>#REF!</v>
      </c>
      <c r="H219" s="80">
        <v>722</v>
      </c>
      <c r="I219" s="81"/>
      <c r="J219" s="77">
        <f>+K182</f>
        <v>0</v>
      </c>
      <c r="K219" s="79">
        <f>+I219+J219</f>
        <v>0</v>
      </c>
      <c r="M219" s="6"/>
      <c r="N219" s="6"/>
      <c r="O219" s="6"/>
    </row>
    <row r="220" spans="1:15" ht="16.5" customHeight="1" thickBot="1" x14ac:dyDescent="0.3">
      <c r="A220" s="80">
        <v>723</v>
      </c>
      <c r="B220" s="81"/>
      <c r="C220" s="77">
        <f>+D183</f>
        <v>319828837</v>
      </c>
      <c r="D220" s="78">
        <f>+B220+C220</f>
        <v>319828837</v>
      </c>
      <c r="F220" s="83" t="s">
        <v>93</v>
      </c>
      <c r="G220" s="84"/>
      <c r="H220" s="80">
        <v>723</v>
      </c>
      <c r="I220" s="81">
        <f>+O198+O200</f>
        <v>2000000</v>
      </c>
      <c r="J220" s="77">
        <f>+K183</f>
        <v>206944432</v>
      </c>
      <c r="K220" s="79">
        <f>+I220+J220</f>
        <v>208944432</v>
      </c>
      <c r="M220" s="343"/>
      <c r="N220" s="275"/>
      <c r="O220" s="275"/>
    </row>
    <row r="221" spans="1:15" ht="13.5" hidden="1" customHeight="1" x14ac:dyDescent="0.25">
      <c r="A221" s="85" t="s">
        <v>94</v>
      </c>
      <c r="B221" s="86"/>
      <c r="C221" s="77">
        <f>+D184</f>
        <v>1965625</v>
      </c>
      <c r="D221" s="88">
        <f>+B221+C221</f>
        <v>1965625</v>
      </c>
      <c r="F221" s="45"/>
      <c r="H221" s="85" t="s">
        <v>94</v>
      </c>
      <c r="I221" s="86"/>
      <c r="J221" s="77">
        <f>+K184</f>
        <v>0</v>
      </c>
      <c r="K221" s="89">
        <f>+I221+J221</f>
        <v>0</v>
      </c>
      <c r="M221" s="45"/>
    </row>
    <row r="222" spans="1:15" ht="15" customHeight="1" thickBot="1" x14ac:dyDescent="0.3">
      <c r="A222" s="90"/>
      <c r="B222" s="91" t="e">
        <f>SUM(B217:B221)</f>
        <v>#REF!</v>
      </c>
      <c r="C222" s="92" t="e">
        <f>SUM(C217:C221)</f>
        <v>#REF!</v>
      </c>
      <c r="D222" s="93" t="e">
        <f>SUM(D217:D221)</f>
        <v>#REF!</v>
      </c>
      <c r="H222" s="90"/>
      <c r="I222" s="94">
        <f>SUM(I217:I221)</f>
        <v>5618000</v>
      </c>
      <c r="J222" s="94">
        <f>SUM(J217:J221)</f>
        <v>221169432</v>
      </c>
      <c r="K222" s="95">
        <f>SUM(K217:K221)</f>
        <v>226787432</v>
      </c>
    </row>
    <row r="223" spans="1:15" ht="15.75" customHeight="1" x14ac:dyDescent="0.25">
      <c r="A223" s="39" t="s">
        <v>46</v>
      </c>
      <c r="B223" s="40"/>
      <c r="H223" s="39" t="s">
        <v>46</v>
      </c>
      <c r="I223" s="40"/>
    </row>
    <row r="224" spans="1:15" ht="12" customHeight="1" x14ac:dyDescent="0.25">
      <c r="A224" s="41" t="s">
        <v>47</v>
      </c>
      <c r="H224" s="41" t="s">
        <v>47</v>
      </c>
    </row>
    <row r="225" spans="1:15" ht="12" customHeight="1" x14ac:dyDescent="0.25">
      <c r="A225" s="41" t="s">
        <v>48</v>
      </c>
      <c r="H225" s="41" t="s">
        <v>48</v>
      </c>
    </row>
    <row r="226" spans="1:15" ht="11.25" customHeight="1" x14ac:dyDescent="0.25">
      <c r="A226" s="41" t="s">
        <v>49</v>
      </c>
      <c r="H226" s="41" t="s">
        <v>49</v>
      </c>
    </row>
    <row r="227" spans="1:15" ht="4.5" customHeight="1" x14ac:dyDescent="0.25">
      <c r="A227" s="40"/>
      <c r="B227" s="40"/>
      <c r="H227" s="40"/>
      <c r="I227" s="40"/>
    </row>
    <row r="228" spans="1:15" ht="12.75" customHeight="1" x14ac:dyDescent="0.25">
      <c r="A228" s="45" t="s">
        <v>199</v>
      </c>
      <c r="G228" s="45"/>
      <c r="H228" s="45" t="s">
        <v>200</v>
      </c>
      <c r="I228" s="110"/>
      <c r="N228" s="45"/>
    </row>
    <row r="229" spans="1:15" ht="15.75" x14ac:dyDescent="0.25">
      <c r="A229" s="47" t="s">
        <v>52</v>
      </c>
      <c r="G229" s="47"/>
      <c r="H229" s="47" t="s">
        <v>97</v>
      </c>
      <c r="N229" s="47"/>
    </row>
    <row r="230" spans="1:15" ht="13.5" customHeight="1" x14ac:dyDescent="0.25">
      <c r="A230" s="326" t="s">
        <v>201</v>
      </c>
      <c r="B230" s="326"/>
      <c r="C230" s="326"/>
      <c r="D230" s="326"/>
      <c r="E230" s="326"/>
      <c r="F230" s="326"/>
      <c r="G230" s="326"/>
      <c r="H230" s="326" t="s">
        <v>202</v>
      </c>
      <c r="I230" s="326"/>
      <c r="J230" s="326"/>
      <c r="K230" s="326"/>
      <c r="L230" s="326"/>
      <c r="M230" s="326"/>
      <c r="N230" s="326"/>
      <c r="O230" s="326"/>
    </row>
    <row r="231" spans="1:15" ht="8.25" customHeight="1" thickBot="1" x14ac:dyDescent="0.3"/>
    <row r="232" spans="1:15" x14ac:dyDescent="0.25">
      <c r="A232" s="327" t="s">
        <v>56</v>
      </c>
      <c r="B232" s="322" t="s">
        <v>57</v>
      </c>
      <c r="C232" s="322" t="s">
        <v>58</v>
      </c>
      <c r="D232" s="322" t="s">
        <v>7</v>
      </c>
      <c r="E232" s="322" t="s">
        <v>59</v>
      </c>
      <c r="F232" s="322" t="s">
        <v>60</v>
      </c>
      <c r="G232" s="50" t="s">
        <v>61</v>
      </c>
      <c r="H232" s="327" t="s">
        <v>56</v>
      </c>
      <c r="I232" s="322" t="s">
        <v>57</v>
      </c>
      <c r="J232" s="322" t="s">
        <v>58</v>
      </c>
      <c r="K232" s="322" t="s">
        <v>7</v>
      </c>
      <c r="L232" s="322" t="s">
        <v>59</v>
      </c>
      <c r="M232" s="322" t="s">
        <v>60</v>
      </c>
      <c r="N232" s="322" t="s">
        <v>61</v>
      </c>
      <c r="O232" s="324"/>
    </row>
    <row r="233" spans="1:15" ht="15.75" thickBot="1" x14ac:dyDescent="0.3">
      <c r="A233" s="328"/>
      <c r="B233" s="323"/>
      <c r="C233" s="323"/>
      <c r="D233" s="323"/>
      <c r="E233" s="323"/>
      <c r="F233" s="323"/>
      <c r="G233" s="51" t="s">
        <v>62</v>
      </c>
      <c r="H233" s="328"/>
      <c r="I233" s="323"/>
      <c r="J233" s="323"/>
      <c r="K233" s="323"/>
      <c r="L233" s="323"/>
      <c r="M233" s="323"/>
      <c r="N233" s="51" t="s">
        <v>62</v>
      </c>
      <c r="O233" s="52" t="s">
        <v>63</v>
      </c>
    </row>
    <row r="234" spans="1:15" ht="13.5" customHeight="1" x14ac:dyDescent="0.25">
      <c r="A234" s="318" t="e">
        <f>+A203+1</f>
        <v>#REF!</v>
      </c>
      <c r="B234" s="312">
        <v>42252</v>
      </c>
      <c r="C234" s="395" t="s">
        <v>64</v>
      </c>
      <c r="D234" s="318" t="s">
        <v>203</v>
      </c>
      <c r="E234" s="318" t="s">
        <v>66</v>
      </c>
      <c r="F234" s="320">
        <v>90000</v>
      </c>
      <c r="G234" s="53">
        <v>719</v>
      </c>
      <c r="H234" s="310" t="s">
        <v>204</v>
      </c>
      <c r="I234" s="312">
        <v>45832</v>
      </c>
      <c r="J234" s="314" t="s">
        <v>205</v>
      </c>
      <c r="K234" s="318" t="s">
        <v>69</v>
      </c>
      <c r="L234" s="318" t="s">
        <v>66</v>
      </c>
      <c r="M234" s="320">
        <v>5000000</v>
      </c>
      <c r="N234" s="53">
        <v>719</v>
      </c>
      <c r="O234" s="54"/>
    </row>
    <row r="235" spans="1:15" ht="14.25" customHeight="1" thickBot="1" x14ac:dyDescent="0.3">
      <c r="A235" s="319"/>
      <c r="B235" s="361"/>
      <c r="C235" s="396"/>
      <c r="D235" s="319"/>
      <c r="E235" s="319"/>
      <c r="F235" s="321"/>
      <c r="G235" s="55">
        <v>721</v>
      </c>
      <c r="H235" s="319"/>
      <c r="I235" s="313"/>
      <c r="J235" s="315"/>
      <c r="K235" s="319"/>
      <c r="L235" s="319"/>
      <c r="M235" s="321"/>
      <c r="N235" s="55">
        <v>723</v>
      </c>
      <c r="O235" s="56">
        <f>+M234</f>
        <v>5000000</v>
      </c>
    </row>
    <row r="236" spans="1:15" ht="12.75" customHeight="1" x14ac:dyDescent="0.25">
      <c r="A236" s="318" t="e">
        <f>+A234+1</f>
        <v>#REF!</v>
      </c>
      <c r="B236" s="312">
        <v>42252</v>
      </c>
      <c r="C236" s="385" t="s">
        <v>70</v>
      </c>
      <c r="D236" s="318" t="s">
        <v>206</v>
      </c>
      <c r="E236" s="318" t="s">
        <v>66</v>
      </c>
      <c r="F236" s="320">
        <v>40000</v>
      </c>
      <c r="G236" s="53">
        <v>719</v>
      </c>
      <c r="H236" s="310" t="s">
        <v>207</v>
      </c>
      <c r="I236" s="312">
        <v>45832</v>
      </c>
      <c r="J236" s="314" t="s">
        <v>208</v>
      </c>
      <c r="K236" s="318" t="s">
        <v>69</v>
      </c>
      <c r="L236" s="318" t="s">
        <v>66</v>
      </c>
      <c r="M236" s="320">
        <v>2379200</v>
      </c>
      <c r="N236" s="53">
        <v>719</v>
      </c>
      <c r="O236" s="54"/>
    </row>
    <row r="237" spans="1:15" ht="13.5" customHeight="1" thickBot="1" x14ac:dyDescent="0.3">
      <c r="A237" s="319"/>
      <c r="B237" s="361"/>
      <c r="C237" s="386"/>
      <c r="D237" s="319"/>
      <c r="E237" s="319"/>
      <c r="F237" s="321"/>
      <c r="G237" s="55">
        <v>721</v>
      </c>
      <c r="H237" s="319"/>
      <c r="I237" s="313"/>
      <c r="J237" s="315"/>
      <c r="K237" s="319"/>
      <c r="L237" s="319"/>
      <c r="M237" s="321"/>
      <c r="N237" s="55">
        <v>723</v>
      </c>
      <c r="O237" s="56">
        <f>+M236</f>
        <v>2379200</v>
      </c>
    </row>
    <row r="238" spans="1:15" ht="12.75" customHeight="1" x14ac:dyDescent="0.25">
      <c r="A238" s="318" t="e">
        <f>+A236+1</f>
        <v>#REF!</v>
      </c>
      <c r="B238" s="312">
        <v>42252</v>
      </c>
      <c r="C238" s="314" t="s">
        <v>106</v>
      </c>
      <c r="D238" s="318" t="s">
        <v>209</v>
      </c>
      <c r="E238" s="318" t="s">
        <v>66</v>
      </c>
      <c r="F238" s="320">
        <v>80000</v>
      </c>
      <c r="G238" s="53">
        <v>719</v>
      </c>
      <c r="H238" s="310" t="s">
        <v>210</v>
      </c>
      <c r="I238" s="312">
        <v>45832</v>
      </c>
      <c r="J238" s="335" t="s">
        <v>211</v>
      </c>
      <c r="K238" s="318" t="s">
        <v>69</v>
      </c>
      <c r="L238" s="318" t="s">
        <v>66</v>
      </c>
      <c r="M238" s="320">
        <v>4000000</v>
      </c>
      <c r="N238" s="53">
        <v>719</v>
      </c>
      <c r="O238" s="54"/>
    </row>
    <row r="239" spans="1:15" ht="13.5" customHeight="1" thickBot="1" x14ac:dyDescent="0.3">
      <c r="A239" s="319"/>
      <c r="B239" s="361"/>
      <c r="C239" s="315"/>
      <c r="D239" s="319"/>
      <c r="E239" s="319"/>
      <c r="F239" s="321"/>
      <c r="G239" s="55">
        <v>721</v>
      </c>
      <c r="H239" s="319"/>
      <c r="I239" s="313"/>
      <c r="J239" s="336"/>
      <c r="K239" s="319"/>
      <c r="L239" s="319"/>
      <c r="M239" s="321"/>
      <c r="N239" s="55">
        <v>723</v>
      </c>
      <c r="O239" s="56">
        <f>+M238-O238</f>
        <v>4000000</v>
      </c>
    </row>
    <row r="240" spans="1:15" ht="13.5" customHeight="1" x14ac:dyDescent="0.25">
      <c r="A240" s="57"/>
      <c r="B240" s="96"/>
      <c r="C240" s="103"/>
      <c r="D240" s="57"/>
      <c r="E240" s="57"/>
      <c r="F240" s="60"/>
      <c r="G240" s="61"/>
      <c r="H240" s="310" t="s">
        <v>212</v>
      </c>
      <c r="I240" s="312">
        <v>45832</v>
      </c>
      <c r="J240" s="314" t="s">
        <v>208</v>
      </c>
      <c r="K240" s="318" t="s">
        <v>69</v>
      </c>
      <c r="L240" s="318" t="s">
        <v>66</v>
      </c>
      <c r="M240" s="320">
        <v>3600000</v>
      </c>
      <c r="N240" s="53">
        <v>719</v>
      </c>
      <c r="O240" s="54"/>
    </row>
    <row r="241" spans="1:15" ht="13.5" customHeight="1" thickBot="1" x14ac:dyDescent="0.3">
      <c r="A241" s="57"/>
      <c r="B241" s="96"/>
      <c r="C241" s="103"/>
      <c r="D241" s="57"/>
      <c r="E241" s="57"/>
      <c r="F241" s="60"/>
      <c r="G241" s="61"/>
      <c r="H241" s="319"/>
      <c r="I241" s="313"/>
      <c r="J241" s="315"/>
      <c r="K241" s="319"/>
      <c r="L241" s="319"/>
      <c r="M241" s="321"/>
      <c r="N241" s="55">
        <v>723</v>
      </c>
      <c r="O241" s="56">
        <f>+M240-O240</f>
        <v>3600000</v>
      </c>
    </row>
    <row r="242" spans="1:15" ht="13.5" customHeight="1" x14ac:dyDescent="0.25">
      <c r="A242" s="318"/>
      <c r="B242" s="312"/>
      <c r="C242" s="314"/>
      <c r="D242" s="314"/>
      <c r="E242" s="318"/>
      <c r="F242" s="320"/>
      <c r="G242" s="53">
        <v>719</v>
      </c>
      <c r="H242" s="310" t="s">
        <v>213</v>
      </c>
      <c r="I242" s="312">
        <v>45832</v>
      </c>
      <c r="J242" s="314" t="s">
        <v>208</v>
      </c>
      <c r="K242" s="318" t="s">
        <v>69</v>
      </c>
      <c r="L242" s="318" t="s">
        <v>66</v>
      </c>
      <c r="M242" s="320">
        <v>2519800</v>
      </c>
      <c r="N242" s="53">
        <v>719</v>
      </c>
      <c r="O242" s="54"/>
    </row>
    <row r="243" spans="1:15" ht="12.75" customHeight="1" thickBot="1" x14ac:dyDescent="0.3">
      <c r="A243" s="319"/>
      <c r="B243" s="361"/>
      <c r="C243" s="315"/>
      <c r="D243" s="315"/>
      <c r="E243" s="319"/>
      <c r="F243" s="321"/>
      <c r="G243" s="55">
        <v>721</v>
      </c>
      <c r="H243" s="319"/>
      <c r="I243" s="313"/>
      <c r="J243" s="315"/>
      <c r="K243" s="319"/>
      <c r="L243" s="319"/>
      <c r="M243" s="321"/>
      <c r="N243" s="55">
        <v>723</v>
      </c>
      <c r="O243" s="56">
        <f>+M242-O242</f>
        <v>2519800</v>
      </c>
    </row>
    <row r="244" spans="1:15" ht="11.25" customHeight="1" x14ac:dyDescent="0.25">
      <c r="A244" s="318"/>
      <c r="B244" s="312"/>
      <c r="C244" s="385"/>
      <c r="D244" s="314"/>
      <c r="E244" s="318"/>
      <c r="F244" s="320"/>
      <c r="G244" s="53">
        <v>719</v>
      </c>
      <c r="H244" s="310" t="s">
        <v>214</v>
      </c>
      <c r="I244" s="312">
        <v>45832</v>
      </c>
      <c r="J244" s="314" t="s">
        <v>184</v>
      </c>
      <c r="K244" s="318" t="s">
        <v>69</v>
      </c>
      <c r="L244" s="318" t="s">
        <v>66</v>
      </c>
      <c r="M244" s="320">
        <v>1500000</v>
      </c>
      <c r="N244" s="53">
        <v>719</v>
      </c>
      <c r="O244" s="54"/>
    </row>
    <row r="245" spans="1:15" ht="13.5" customHeight="1" thickBot="1" x14ac:dyDescent="0.3">
      <c r="A245" s="319"/>
      <c r="B245" s="361"/>
      <c r="C245" s="386"/>
      <c r="D245" s="315"/>
      <c r="E245" s="319"/>
      <c r="F245" s="321"/>
      <c r="G245" s="55">
        <v>721</v>
      </c>
      <c r="H245" s="319"/>
      <c r="I245" s="313"/>
      <c r="J245" s="315"/>
      <c r="K245" s="319"/>
      <c r="L245" s="319"/>
      <c r="M245" s="321"/>
      <c r="N245" s="55">
        <v>723</v>
      </c>
      <c r="O245" s="56">
        <f>+M244-O244</f>
        <v>1500000</v>
      </c>
    </row>
    <row r="246" spans="1:15" ht="16.5" thickBot="1" x14ac:dyDescent="0.3">
      <c r="A246" s="297" t="s">
        <v>80</v>
      </c>
      <c r="B246" s="298"/>
      <c r="C246" s="298"/>
      <c r="D246" s="298"/>
      <c r="E246" s="299"/>
      <c r="F246" s="62">
        <f>SUM(F234:F245)</f>
        <v>210000</v>
      </c>
      <c r="H246" s="297" t="s">
        <v>80</v>
      </c>
      <c r="I246" s="298"/>
      <c r="J246" s="298"/>
      <c r="K246" s="298"/>
      <c r="L246" s="299"/>
      <c r="M246" s="62">
        <f>SUM(M234:M245)</f>
        <v>18999000</v>
      </c>
    </row>
    <row r="247" spans="1:15" ht="14.25" customHeight="1" thickBot="1" x14ac:dyDescent="0.3">
      <c r="A247" s="300" t="s">
        <v>81</v>
      </c>
      <c r="B247" s="301"/>
      <c r="C247" s="301"/>
      <c r="D247" s="301"/>
      <c r="E247" s="302"/>
      <c r="F247" s="63" t="e">
        <f>+F209</f>
        <v>#REF!</v>
      </c>
      <c r="H247" s="300" t="s">
        <v>81</v>
      </c>
      <c r="I247" s="301"/>
      <c r="J247" s="301"/>
      <c r="K247" s="301"/>
      <c r="L247" s="302"/>
      <c r="M247" s="106">
        <f>+M209</f>
        <v>226787432</v>
      </c>
      <c r="N247" s="64" t="s">
        <v>82</v>
      </c>
      <c r="O247" s="65"/>
    </row>
    <row r="248" spans="1:15" ht="15" customHeight="1" thickBot="1" x14ac:dyDescent="0.3">
      <c r="A248" s="303" t="s">
        <v>83</v>
      </c>
      <c r="B248" s="304"/>
      <c r="C248" s="304"/>
      <c r="D248" s="304"/>
      <c r="E248" s="305"/>
      <c r="F248" s="66" t="e">
        <f>SUM(F246:F247)</f>
        <v>#REF!</v>
      </c>
      <c r="H248" s="303" t="s">
        <v>83</v>
      </c>
      <c r="I248" s="304"/>
      <c r="J248" s="304"/>
      <c r="K248" s="304"/>
      <c r="L248" s="305"/>
      <c r="M248" s="66">
        <f>SUM(M246:M247)</f>
        <v>245786432</v>
      </c>
    </row>
    <row r="249" spans="1:15" ht="7.5" customHeight="1" x14ac:dyDescent="0.25">
      <c r="A249" s="67"/>
      <c r="B249" s="67"/>
      <c r="C249" s="67"/>
      <c r="D249" s="67"/>
      <c r="E249" s="67"/>
      <c r="H249" s="67"/>
      <c r="I249" s="67"/>
      <c r="J249" s="67"/>
      <c r="K249" s="67"/>
      <c r="L249" s="67"/>
    </row>
    <row r="250" spans="1:15" x14ac:dyDescent="0.25">
      <c r="A250" s="41" t="s">
        <v>215</v>
      </c>
      <c r="H250" s="41" t="s">
        <v>216</v>
      </c>
    </row>
    <row r="251" spans="1:15" ht="3.75" customHeight="1" x14ac:dyDescent="0.25">
      <c r="F251" s="68"/>
      <c r="M251" s="68"/>
    </row>
    <row r="252" spans="1:15" ht="13.5" customHeight="1" x14ac:dyDescent="0.25">
      <c r="A252" s="40" t="s">
        <v>86</v>
      </c>
      <c r="D252" s="69"/>
      <c r="F252" s="68"/>
      <c r="H252" s="40" t="s">
        <v>86</v>
      </c>
      <c r="K252" s="69"/>
      <c r="M252" s="68"/>
    </row>
    <row r="253" spans="1:15" ht="6.75" customHeight="1" thickBot="1" x14ac:dyDescent="0.3"/>
    <row r="254" spans="1:15" ht="17.25" thickBot="1" x14ac:dyDescent="0.35">
      <c r="A254" s="306" t="s">
        <v>87</v>
      </c>
      <c r="B254" s="307"/>
      <c r="C254" s="307"/>
      <c r="D254" s="308"/>
      <c r="F254" s="40" t="s">
        <v>217</v>
      </c>
      <c r="H254" s="306" t="s">
        <v>87</v>
      </c>
      <c r="I254" s="307"/>
      <c r="J254" s="307"/>
      <c r="K254" s="308"/>
      <c r="M254" s="350" t="s">
        <v>89</v>
      </c>
      <c r="N254" s="350"/>
      <c r="O254" s="350"/>
    </row>
    <row r="255" spans="1:15" ht="28.5" customHeight="1" thickBot="1" x14ac:dyDescent="0.35">
      <c r="A255" s="70" t="s">
        <v>62</v>
      </c>
      <c r="B255" s="71" t="s">
        <v>90</v>
      </c>
      <c r="C255" s="72" t="s">
        <v>91</v>
      </c>
      <c r="D255" s="73" t="s">
        <v>92</v>
      </c>
      <c r="H255" s="70" t="s">
        <v>62</v>
      </c>
      <c r="I255" s="71" t="s">
        <v>90</v>
      </c>
      <c r="J255" s="111" t="s">
        <v>91</v>
      </c>
      <c r="K255" s="73" t="s">
        <v>92</v>
      </c>
      <c r="M255" s="6"/>
      <c r="N255" s="6"/>
      <c r="O255" s="6"/>
    </row>
    <row r="256" spans="1:15" ht="13.5" customHeight="1" x14ac:dyDescent="0.3">
      <c r="A256" s="75">
        <v>719</v>
      </c>
      <c r="B256" s="76" t="e">
        <f>+#REF!+#REF!+#REF!</f>
        <v>#REF!</v>
      </c>
      <c r="C256" s="77" t="e">
        <f>+D217</f>
        <v>#REF!</v>
      </c>
      <c r="D256" s="78" t="e">
        <f>+B256+C256</f>
        <v>#REF!</v>
      </c>
      <c r="H256" s="75">
        <v>719</v>
      </c>
      <c r="I256" s="76">
        <f>+O234+O236+O238+O242+O244</f>
        <v>0</v>
      </c>
      <c r="J256" s="77">
        <f>+K217</f>
        <v>15400000</v>
      </c>
      <c r="K256" s="79">
        <f>+I256+J256</f>
        <v>15400000</v>
      </c>
      <c r="M256" s="6"/>
      <c r="N256" s="6"/>
      <c r="O256" s="6"/>
    </row>
    <row r="257" spans="1:15" ht="14.25" customHeight="1" x14ac:dyDescent="0.3">
      <c r="A257" s="80">
        <v>721</v>
      </c>
      <c r="B257" s="81"/>
      <c r="C257" s="77" t="e">
        <f>+D218</f>
        <v>#REF!</v>
      </c>
      <c r="D257" s="78" t="e">
        <f>+B257+C257</f>
        <v>#REF!</v>
      </c>
      <c r="H257" s="80">
        <v>721</v>
      </c>
      <c r="I257" s="81">
        <v>0</v>
      </c>
      <c r="J257" s="77">
        <f>+K218</f>
        <v>2443000</v>
      </c>
      <c r="K257" s="79">
        <f>+I257+J257</f>
        <v>2443000</v>
      </c>
      <c r="M257" s="6"/>
      <c r="N257" s="6"/>
      <c r="O257" s="6"/>
    </row>
    <row r="258" spans="1:15" ht="11.25" customHeight="1" x14ac:dyDescent="0.3">
      <c r="A258" s="80">
        <v>722</v>
      </c>
      <c r="B258" s="81"/>
      <c r="C258" s="77" t="e">
        <f>+D219</f>
        <v>#REF!</v>
      </c>
      <c r="D258" s="78" t="e">
        <f>+B258+C258</f>
        <v>#REF!</v>
      </c>
      <c r="H258" s="80">
        <v>722</v>
      </c>
      <c r="I258" s="81"/>
      <c r="J258" s="77">
        <f>+K219</f>
        <v>0</v>
      </c>
      <c r="K258" s="79">
        <f>+I258+J258</f>
        <v>0</v>
      </c>
      <c r="M258" s="6"/>
      <c r="N258" s="6"/>
      <c r="O258" s="6"/>
    </row>
    <row r="259" spans="1:15" ht="16.5" customHeight="1" thickBot="1" x14ac:dyDescent="0.3">
      <c r="A259" s="80">
        <v>723</v>
      </c>
      <c r="B259" s="81"/>
      <c r="C259" s="77">
        <f>+D220</f>
        <v>319828837</v>
      </c>
      <c r="D259" s="78">
        <f>+B259+C259</f>
        <v>319828837</v>
      </c>
      <c r="F259" s="83" t="s">
        <v>218</v>
      </c>
      <c r="G259" s="84"/>
      <c r="H259" s="80">
        <v>723</v>
      </c>
      <c r="I259" s="81">
        <f>+O235+O237+O239+O243+O245+O241</f>
        <v>18999000</v>
      </c>
      <c r="J259" s="77">
        <f>+K220</f>
        <v>208944432</v>
      </c>
      <c r="K259" s="79">
        <f>+I259+J259</f>
        <v>227943432</v>
      </c>
      <c r="M259" s="343"/>
      <c r="N259" s="275"/>
      <c r="O259" s="275"/>
    </row>
    <row r="260" spans="1:15" ht="13.5" hidden="1" customHeight="1" x14ac:dyDescent="0.25">
      <c r="A260" s="85" t="s">
        <v>94</v>
      </c>
      <c r="B260" s="86"/>
      <c r="C260" s="77">
        <f>+D221</f>
        <v>1965625</v>
      </c>
      <c r="D260" s="88">
        <f>+B260+C260</f>
        <v>1965625</v>
      </c>
      <c r="F260" s="45"/>
      <c r="H260" s="85" t="s">
        <v>94</v>
      </c>
      <c r="I260" s="86"/>
      <c r="J260" s="77">
        <f>+K221</f>
        <v>0</v>
      </c>
      <c r="K260" s="89">
        <f>+I260+J260</f>
        <v>0</v>
      </c>
      <c r="M260" s="45"/>
    </row>
    <row r="261" spans="1:15" ht="15" customHeight="1" thickBot="1" x14ac:dyDescent="0.3">
      <c r="A261" s="90"/>
      <c r="B261" s="91" t="e">
        <f>SUM(B256:B260)</f>
        <v>#REF!</v>
      </c>
      <c r="C261" s="92" t="e">
        <f>SUM(C256:C260)</f>
        <v>#REF!</v>
      </c>
      <c r="D261" s="93" t="e">
        <f>SUM(D256:D260)</f>
        <v>#REF!</v>
      </c>
      <c r="H261" s="90"/>
      <c r="I261" s="94">
        <f>SUM(I256:I260)</f>
        <v>18999000</v>
      </c>
      <c r="J261" s="94">
        <f>SUM(J256:J260)</f>
        <v>226787432</v>
      </c>
      <c r="K261" s="95">
        <f>SUM(K256:K260)</f>
        <v>245786432</v>
      </c>
    </row>
    <row r="262" spans="1:15" ht="15" customHeight="1" x14ac:dyDescent="0.25">
      <c r="A262" s="39" t="s">
        <v>46</v>
      </c>
      <c r="B262" s="40"/>
      <c r="H262" s="39" t="s">
        <v>46</v>
      </c>
      <c r="I262" s="40"/>
    </row>
    <row r="263" spans="1:15" ht="12.75" customHeight="1" x14ac:dyDescent="0.25">
      <c r="A263" s="41" t="s">
        <v>47</v>
      </c>
      <c r="H263" s="41" t="s">
        <v>47</v>
      </c>
    </row>
    <row r="264" spans="1:15" ht="13.5" customHeight="1" x14ac:dyDescent="0.25">
      <c r="A264" s="41" t="s">
        <v>48</v>
      </c>
      <c r="H264" s="41" t="s">
        <v>48</v>
      </c>
    </row>
    <row r="265" spans="1:15" ht="13.5" customHeight="1" x14ac:dyDescent="0.25">
      <c r="A265" s="41" t="s">
        <v>49</v>
      </c>
      <c r="H265" s="41" t="s">
        <v>49</v>
      </c>
    </row>
    <row r="266" spans="1:15" ht="3" customHeight="1" x14ac:dyDescent="0.25">
      <c r="A266" s="40"/>
      <c r="B266" s="40"/>
      <c r="H266" s="40"/>
      <c r="I266" s="40"/>
    </row>
    <row r="267" spans="1:15" ht="14.25" customHeight="1" x14ac:dyDescent="0.25">
      <c r="A267" s="45" t="s">
        <v>219</v>
      </c>
      <c r="G267" s="45"/>
      <c r="H267" s="45" t="s">
        <v>220</v>
      </c>
      <c r="I267" s="112"/>
      <c r="N267" s="45"/>
    </row>
    <row r="268" spans="1:15" ht="15.75" x14ac:dyDescent="0.25">
      <c r="A268" s="47" t="s">
        <v>52</v>
      </c>
      <c r="G268" s="47"/>
      <c r="H268" s="47" t="s">
        <v>97</v>
      </c>
      <c r="N268" s="47"/>
    </row>
    <row r="269" spans="1:15" ht="14.25" customHeight="1" x14ac:dyDescent="0.25">
      <c r="A269" s="326" t="s">
        <v>201</v>
      </c>
      <c r="B269" s="326"/>
      <c r="C269" s="326"/>
      <c r="D269" s="326"/>
      <c r="E269" s="326"/>
      <c r="F269" s="326"/>
      <c r="G269" s="326"/>
      <c r="H269" s="326" t="s">
        <v>202</v>
      </c>
      <c r="I269" s="326"/>
      <c r="J269" s="326"/>
      <c r="K269" s="326"/>
      <c r="L269" s="326"/>
      <c r="M269" s="326"/>
      <c r="N269" s="326"/>
      <c r="O269" s="326"/>
    </row>
    <row r="270" spans="1:15" ht="3.75" customHeight="1" thickBot="1" x14ac:dyDescent="0.3"/>
    <row r="271" spans="1:15" x14ac:dyDescent="0.25">
      <c r="A271" s="327" t="s">
        <v>56</v>
      </c>
      <c r="B271" s="322" t="s">
        <v>57</v>
      </c>
      <c r="C271" s="322" t="s">
        <v>58</v>
      </c>
      <c r="D271" s="322" t="s">
        <v>7</v>
      </c>
      <c r="E271" s="322" t="s">
        <v>59</v>
      </c>
      <c r="F271" s="322" t="s">
        <v>60</v>
      </c>
      <c r="G271" s="50" t="s">
        <v>61</v>
      </c>
      <c r="H271" s="327" t="s">
        <v>56</v>
      </c>
      <c r="I271" s="322" t="s">
        <v>57</v>
      </c>
      <c r="J271" s="322" t="s">
        <v>58</v>
      </c>
      <c r="K271" s="322" t="s">
        <v>7</v>
      </c>
      <c r="L271" s="322" t="s">
        <v>59</v>
      </c>
      <c r="M271" s="322" t="s">
        <v>60</v>
      </c>
      <c r="N271" s="322" t="s">
        <v>61</v>
      </c>
      <c r="O271" s="324"/>
    </row>
    <row r="272" spans="1:15" ht="15.75" thickBot="1" x14ac:dyDescent="0.3">
      <c r="A272" s="328"/>
      <c r="B272" s="323"/>
      <c r="C272" s="323"/>
      <c r="D272" s="323"/>
      <c r="E272" s="323"/>
      <c r="F272" s="323"/>
      <c r="G272" s="51" t="s">
        <v>62</v>
      </c>
      <c r="H272" s="328"/>
      <c r="I272" s="323"/>
      <c r="J272" s="323"/>
      <c r="K272" s="323"/>
      <c r="L272" s="323"/>
      <c r="M272" s="323"/>
      <c r="N272" s="51" t="s">
        <v>62</v>
      </c>
      <c r="O272" s="52" t="s">
        <v>63</v>
      </c>
    </row>
    <row r="273" spans="1:17" ht="11.25" customHeight="1" x14ac:dyDescent="0.25">
      <c r="A273" s="318" t="e">
        <f>+A238+1</f>
        <v>#REF!</v>
      </c>
      <c r="B273" s="312">
        <v>42254</v>
      </c>
      <c r="C273" s="314" t="s">
        <v>221</v>
      </c>
      <c r="D273" s="318" t="s">
        <v>222</v>
      </c>
      <c r="E273" s="318" t="s">
        <v>5</v>
      </c>
      <c r="F273" s="320">
        <v>252000</v>
      </c>
      <c r="G273" s="53">
        <v>719</v>
      </c>
      <c r="H273" s="310" t="s">
        <v>223</v>
      </c>
      <c r="I273" s="312">
        <v>45835</v>
      </c>
      <c r="J273" s="393" t="s">
        <v>224</v>
      </c>
      <c r="K273" s="318" t="s">
        <v>69</v>
      </c>
      <c r="L273" s="318" t="s">
        <v>66</v>
      </c>
      <c r="M273" s="320">
        <v>3000000</v>
      </c>
      <c r="N273" s="53">
        <v>719</v>
      </c>
      <c r="O273" s="54"/>
    </row>
    <row r="274" spans="1:17" ht="14.25" customHeight="1" thickBot="1" x14ac:dyDescent="0.3">
      <c r="A274" s="319"/>
      <c r="B274" s="361"/>
      <c r="C274" s="315"/>
      <c r="D274" s="319"/>
      <c r="E274" s="319"/>
      <c r="F274" s="321"/>
      <c r="G274" s="55">
        <v>721</v>
      </c>
      <c r="H274" s="319"/>
      <c r="I274" s="313"/>
      <c r="J274" s="394"/>
      <c r="K274" s="319"/>
      <c r="L274" s="319"/>
      <c r="M274" s="321"/>
      <c r="N274" s="55">
        <v>723</v>
      </c>
      <c r="O274" s="113">
        <f>+M273</f>
        <v>3000000</v>
      </c>
    </row>
    <row r="275" spans="1:17" ht="12" customHeight="1" x14ac:dyDescent="0.25">
      <c r="A275" s="318" t="e">
        <f>+A273+1</f>
        <v>#REF!</v>
      </c>
      <c r="B275" s="312">
        <v>42254</v>
      </c>
      <c r="C275" s="318" t="s">
        <v>70</v>
      </c>
      <c r="D275" s="318" t="s">
        <v>206</v>
      </c>
      <c r="E275" s="318" t="s">
        <v>5</v>
      </c>
      <c r="F275" s="320">
        <v>560000</v>
      </c>
      <c r="G275" s="53">
        <v>719</v>
      </c>
      <c r="H275" s="310" t="s">
        <v>225</v>
      </c>
      <c r="I275" s="312">
        <v>45835</v>
      </c>
      <c r="J275" s="314" t="s">
        <v>226</v>
      </c>
      <c r="K275" s="318" t="s">
        <v>69</v>
      </c>
      <c r="L275" s="318" t="s">
        <v>66</v>
      </c>
      <c r="M275" s="320">
        <v>1200000</v>
      </c>
      <c r="N275" s="53">
        <v>719</v>
      </c>
      <c r="O275" s="114"/>
    </row>
    <row r="276" spans="1:17" ht="11.25" customHeight="1" thickBot="1" x14ac:dyDescent="0.3">
      <c r="A276" s="319"/>
      <c r="B276" s="361"/>
      <c r="C276" s="319"/>
      <c r="D276" s="319"/>
      <c r="E276" s="319"/>
      <c r="F276" s="321"/>
      <c r="G276" s="55">
        <v>721</v>
      </c>
      <c r="H276" s="319"/>
      <c r="I276" s="313"/>
      <c r="J276" s="315"/>
      <c r="K276" s="319"/>
      <c r="L276" s="319"/>
      <c r="M276" s="321"/>
      <c r="N276" s="55">
        <v>723</v>
      </c>
      <c r="O276" s="113">
        <f>+M275</f>
        <v>1200000</v>
      </c>
    </row>
    <row r="277" spans="1:17" ht="12.75" customHeight="1" x14ac:dyDescent="0.25">
      <c r="A277" s="318" t="e">
        <f>+A275+1</f>
        <v>#REF!</v>
      </c>
      <c r="B277" s="312">
        <v>42254</v>
      </c>
      <c r="C277" s="314" t="s">
        <v>106</v>
      </c>
      <c r="D277" s="318" t="s">
        <v>227</v>
      </c>
      <c r="E277" s="318" t="s">
        <v>5</v>
      </c>
      <c r="F277" s="320">
        <v>154000</v>
      </c>
      <c r="G277" s="53">
        <v>719</v>
      </c>
      <c r="H277" s="310" t="s">
        <v>228</v>
      </c>
      <c r="I277" s="312">
        <v>45835</v>
      </c>
      <c r="J277" s="335" t="s">
        <v>136</v>
      </c>
      <c r="K277" s="318" t="s">
        <v>69</v>
      </c>
      <c r="L277" s="318" t="s">
        <v>66</v>
      </c>
      <c r="M277" s="320">
        <v>3600000</v>
      </c>
      <c r="N277" s="53">
        <v>719</v>
      </c>
      <c r="O277" s="114"/>
      <c r="Q277" s="41" t="s">
        <v>190</v>
      </c>
    </row>
    <row r="278" spans="1:17" ht="15.75" customHeight="1" thickBot="1" x14ac:dyDescent="0.3">
      <c r="A278" s="319"/>
      <c r="B278" s="361"/>
      <c r="C278" s="315"/>
      <c r="D278" s="319"/>
      <c r="E278" s="319"/>
      <c r="F278" s="321"/>
      <c r="G278" s="55">
        <v>721</v>
      </c>
      <c r="H278" s="319"/>
      <c r="I278" s="313"/>
      <c r="J278" s="336"/>
      <c r="K278" s="319"/>
      <c r="L278" s="319"/>
      <c r="M278" s="321"/>
      <c r="N278" s="55">
        <v>723</v>
      </c>
      <c r="O278" s="113">
        <f>+M277</f>
        <v>3600000</v>
      </c>
    </row>
    <row r="279" spans="1:17" ht="12" customHeight="1" x14ac:dyDescent="0.25">
      <c r="A279" s="318" t="e">
        <f>+A277+1</f>
        <v>#REF!</v>
      </c>
      <c r="B279" s="312">
        <v>42254</v>
      </c>
      <c r="C279" s="314" t="s">
        <v>64</v>
      </c>
      <c r="D279" s="318" t="s">
        <v>227</v>
      </c>
      <c r="E279" s="318" t="s">
        <v>5</v>
      </c>
      <c r="F279" s="320">
        <v>1078000</v>
      </c>
      <c r="G279" s="53">
        <v>719</v>
      </c>
      <c r="H279" s="310" t="s">
        <v>229</v>
      </c>
      <c r="I279" s="312">
        <v>45835</v>
      </c>
      <c r="J279" s="335" t="s">
        <v>136</v>
      </c>
      <c r="K279" s="318" t="s">
        <v>69</v>
      </c>
      <c r="L279" s="318" t="s">
        <v>66</v>
      </c>
      <c r="M279" s="320">
        <v>2400000</v>
      </c>
      <c r="N279" s="53">
        <v>719</v>
      </c>
      <c r="O279" s="114"/>
    </row>
    <row r="280" spans="1:17" ht="12" customHeight="1" thickBot="1" x14ac:dyDescent="0.3">
      <c r="A280" s="319"/>
      <c r="B280" s="361"/>
      <c r="C280" s="315"/>
      <c r="D280" s="319"/>
      <c r="E280" s="319"/>
      <c r="F280" s="321"/>
      <c r="G280" s="55">
        <v>721</v>
      </c>
      <c r="H280" s="319"/>
      <c r="I280" s="313"/>
      <c r="J280" s="336"/>
      <c r="K280" s="319"/>
      <c r="L280" s="319"/>
      <c r="M280" s="321"/>
      <c r="N280" s="55">
        <v>723</v>
      </c>
      <c r="O280" s="113">
        <f>+M279</f>
        <v>2400000</v>
      </c>
    </row>
    <row r="281" spans="1:17" ht="12" customHeight="1" x14ac:dyDescent="0.25">
      <c r="A281" s="57"/>
      <c r="B281" s="96"/>
      <c r="C281" s="103"/>
      <c r="D281" s="57"/>
      <c r="E281" s="57"/>
      <c r="F281" s="60"/>
      <c r="G281" s="61"/>
      <c r="H281" s="310" t="s">
        <v>230</v>
      </c>
      <c r="I281" s="312">
        <v>45835</v>
      </c>
      <c r="J281" s="335" t="s">
        <v>136</v>
      </c>
      <c r="K281" s="318" t="s">
        <v>69</v>
      </c>
      <c r="L281" s="318" t="s">
        <v>66</v>
      </c>
      <c r="M281" s="320">
        <v>1392800</v>
      </c>
      <c r="N281" s="53">
        <v>719</v>
      </c>
      <c r="O281" s="114"/>
    </row>
    <row r="282" spans="1:17" ht="14.25" customHeight="1" thickBot="1" x14ac:dyDescent="0.3">
      <c r="A282" s="57"/>
      <c r="B282" s="96"/>
      <c r="C282" s="103"/>
      <c r="D282" s="57"/>
      <c r="E282" s="57"/>
      <c r="F282" s="60"/>
      <c r="G282" s="61"/>
      <c r="H282" s="319"/>
      <c r="I282" s="313"/>
      <c r="J282" s="336"/>
      <c r="K282" s="319"/>
      <c r="L282" s="319"/>
      <c r="M282" s="321"/>
      <c r="N282" s="55">
        <v>723</v>
      </c>
      <c r="O282" s="113">
        <v>1392800</v>
      </c>
    </row>
    <row r="283" spans="1:17" ht="11.25" customHeight="1" x14ac:dyDescent="0.25">
      <c r="A283" s="318" t="e">
        <f>+A279+1</f>
        <v>#REF!</v>
      </c>
      <c r="B283" s="312">
        <v>42254</v>
      </c>
      <c r="C283" s="314" t="s">
        <v>231</v>
      </c>
      <c r="D283" s="318" t="s">
        <v>232</v>
      </c>
      <c r="E283" s="318" t="s">
        <v>5</v>
      </c>
      <c r="F283" s="320">
        <v>112000</v>
      </c>
      <c r="G283" s="53">
        <v>719</v>
      </c>
      <c r="H283" s="310" t="s">
        <v>233</v>
      </c>
      <c r="I283" s="312">
        <v>45835</v>
      </c>
      <c r="J283" s="335" t="s">
        <v>234</v>
      </c>
      <c r="K283" s="318" t="s">
        <v>69</v>
      </c>
      <c r="L283" s="318" t="s">
        <v>66</v>
      </c>
      <c r="M283" s="320">
        <v>2400000</v>
      </c>
      <c r="N283" s="115">
        <v>719</v>
      </c>
      <c r="O283" s="114"/>
    </row>
    <row r="284" spans="1:17" ht="15.75" customHeight="1" thickBot="1" x14ac:dyDescent="0.3">
      <c r="A284" s="319"/>
      <c r="B284" s="361"/>
      <c r="C284" s="315"/>
      <c r="D284" s="319"/>
      <c r="E284" s="319"/>
      <c r="F284" s="321"/>
      <c r="G284" s="55">
        <v>721</v>
      </c>
      <c r="H284" s="319"/>
      <c r="I284" s="313"/>
      <c r="J284" s="336"/>
      <c r="K284" s="319"/>
      <c r="L284" s="319"/>
      <c r="M284" s="321"/>
      <c r="N284" s="55">
        <v>723</v>
      </c>
      <c r="O284" s="113">
        <f>+M283-O283</f>
        <v>2400000</v>
      </c>
    </row>
    <row r="285" spans="1:17" ht="13.5" customHeight="1" thickBot="1" x14ac:dyDescent="0.3">
      <c r="A285" s="297" t="s">
        <v>80</v>
      </c>
      <c r="B285" s="298"/>
      <c r="C285" s="298"/>
      <c r="D285" s="298"/>
      <c r="E285" s="299"/>
      <c r="F285" s="62">
        <f>SUM(F273:F284)</f>
        <v>2156000</v>
      </c>
      <c r="H285" s="297" t="s">
        <v>80</v>
      </c>
      <c r="I285" s="298"/>
      <c r="J285" s="298"/>
      <c r="K285" s="298"/>
      <c r="L285" s="299"/>
      <c r="M285" s="62">
        <f>SUM(M273:M284)</f>
        <v>13992800</v>
      </c>
    </row>
    <row r="286" spans="1:17" ht="14.25" customHeight="1" thickBot="1" x14ac:dyDescent="0.3">
      <c r="A286" s="300" t="s">
        <v>81</v>
      </c>
      <c r="B286" s="301"/>
      <c r="C286" s="301"/>
      <c r="D286" s="301"/>
      <c r="E286" s="302"/>
      <c r="F286" s="63" t="e">
        <f>+F248</f>
        <v>#REF!</v>
      </c>
      <c r="H286" s="300" t="s">
        <v>81</v>
      </c>
      <c r="I286" s="301"/>
      <c r="J286" s="301"/>
      <c r="K286" s="301"/>
      <c r="L286" s="302"/>
      <c r="M286" s="106">
        <f>+M248</f>
        <v>245786432</v>
      </c>
      <c r="N286" s="64" t="s">
        <v>82</v>
      </c>
      <c r="O286" s="65"/>
    </row>
    <row r="287" spans="1:17" ht="15.75" customHeight="1" thickBot="1" x14ac:dyDescent="0.3">
      <c r="A287" s="303" t="s">
        <v>83</v>
      </c>
      <c r="B287" s="304"/>
      <c r="C287" s="304"/>
      <c r="D287" s="304"/>
      <c r="E287" s="305"/>
      <c r="F287" s="66" t="e">
        <f>SUM(F285:F286)</f>
        <v>#REF!</v>
      </c>
      <c r="H287" s="303" t="s">
        <v>83</v>
      </c>
      <c r="I287" s="304"/>
      <c r="J287" s="304"/>
      <c r="K287" s="304"/>
      <c r="L287" s="305"/>
      <c r="M287" s="66">
        <f>SUM(M285:M286)</f>
        <v>259779232</v>
      </c>
    </row>
    <row r="288" spans="1:17" ht="6.75" customHeight="1" x14ac:dyDescent="0.25">
      <c r="A288" s="67"/>
      <c r="B288" s="67"/>
      <c r="C288" s="67"/>
      <c r="D288" s="67"/>
      <c r="E288" s="67"/>
      <c r="H288" s="67"/>
      <c r="I288" s="67"/>
      <c r="J288" s="67"/>
      <c r="K288" s="67"/>
      <c r="L288" s="67"/>
    </row>
    <row r="289" spans="1:15" x14ac:dyDescent="0.25">
      <c r="A289" s="41" t="s">
        <v>235</v>
      </c>
      <c r="H289" s="41" t="s">
        <v>236</v>
      </c>
    </row>
    <row r="290" spans="1:15" ht="3.75" customHeight="1" x14ac:dyDescent="0.25">
      <c r="F290" s="68"/>
      <c r="M290" s="68"/>
    </row>
    <row r="291" spans="1:15" ht="12.75" customHeight="1" x14ac:dyDescent="0.25">
      <c r="A291" s="40" t="s">
        <v>86</v>
      </c>
      <c r="D291" s="69"/>
      <c r="F291" s="68"/>
      <c r="H291" s="40" t="s">
        <v>86</v>
      </c>
      <c r="K291" s="69"/>
      <c r="M291" s="68"/>
    </row>
    <row r="292" spans="1:15" ht="3.75" customHeight="1" thickBot="1" x14ac:dyDescent="0.3"/>
    <row r="293" spans="1:15" ht="17.25" thickBot="1" x14ac:dyDescent="0.35">
      <c r="A293" s="306" t="s">
        <v>87</v>
      </c>
      <c r="B293" s="307"/>
      <c r="C293" s="307"/>
      <c r="D293" s="308"/>
      <c r="F293" s="40" t="s">
        <v>237</v>
      </c>
      <c r="H293" s="306" t="s">
        <v>87</v>
      </c>
      <c r="I293" s="307"/>
      <c r="J293" s="307"/>
      <c r="K293" s="308"/>
      <c r="M293" s="350" t="s">
        <v>89</v>
      </c>
      <c r="N293" s="350"/>
      <c r="O293" s="350"/>
    </row>
    <row r="294" spans="1:15" ht="31.5" thickBot="1" x14ac:dyDescent="0.35">
      <c r="A294" s="70" t="s">
        <v>62</v>
      </c>
      <c r="B294" s="71" t="s">
        <v>90</v>
      </c>
      <c r="C294" s="72" t="s">
        <v>91</v>
      </c>
      <c r="D294" s="73" t="s">
        <v>92</v>
      </c>
      <c r="H294" s="70" t="s">
        <v>62</v>
      </c>
      <c r="I294" s="71" t="s">
        <v>90</v>
      </c>
      <c r="J294" s="72" t="s">
        <v>91</v>
      </c>
      <c r="K294" s="73" t="s">
        <v>92</v>
      </c>
      <c r="M294" s="6"/>
    </row>
    <row r="295" spans="1:15" ht="11.25" customHeight="1" x14ac:dyDescent="0.3">
      <c r="A295" s="75">
        <v>719</v>
      </c>
      <c r="B295" s="76" t="e">
        <f>+#REF!+#REF!+#REF!+#REF!+#REF!</f>
        <v>#REF!</v>
      </c>
      <c r="C295" s="77" t="e">
        <f>+D256</f>
        <v>#REF!</v>
      </c>
      <c r="D295" s="78" t="e">
        <f>+B295+C295</f>
        <v>#REF!</v>
      </c>
      <c r="H295" s="75">
        <v>719</v>
      </c>
      <c r="I295" s="76">
        <f>+O273+O275+O277+O279+O283</f>
        <v>0</v>
      </c>
      <c r="J295" s="77">
        <f>+K256</f>
        <v>15400000</v>
      </c>
      <c r="K295" s="79">
        <f>+I295+J295</f>
        <v>15400000</v>
      </c>
      <c r="M295" s="6"/>
    </row>
    <row r="296" spans="1:15" ht="12" customHeight="1" x14ac:dyDescent="0.3">
      <c r="A296" s="80">
        <v>721</v>
      </c>
      <c r="B296" s="81" t="e">
        <f>+#REF!+#REF!+#REF!+#REF!+#REF!</f>
        <v>#REF!</v>
      </c>
      <c r="C296" s="77" t="e">
        <f>+D257</f>
        <v>#REF!</v>
      </c>
      <c r="D296" s="78" t="e">
        <f>+B296+C296</f>
        <v>#REF!</v>
      </c>
      <c r="H296" s="80">
        <v>721</v>
      </c>
      <c r="I296" s="81"/>
      <c r="J296" s="77">
        <f>+K257</f>
        <v>2443000</v>
      </c>
      <c r="K296" s="79">
        <f>+I296+J296</f>
        <v>2443000</v>
      </c>
      <c r="M296" s="6"/>
    </row>
    <row r="297" spans="1:15" ht="12.75" customHeight="1" x14ac:dyDescent="0.3">
      <c r="A297" s="80">
        <v>722</v>
      </c>
      <c r="B297" s="81"/>
      <c r="C297" s="77" t="e">
        <f>+D258</f>
        <v>#REF!</v>
      </c>
      <c r="D297" s="78" t="e">
        <f>+B297+C297</f>
        <v>#REF!</v>
      </c>
      <c r="H297" s="80">
        <v>722</v>
      </c>
      <c r="I297" s="81"/>
      <c r="J297" s="77">
        <f>+K258</f>
        <v>0</v>
      </c>
      <c r="K297" s="79">
        <f>+I297+J297</f>
        <v>0</v>
      </c>
      <c r="M297" s="6"/>
    </row>
    <row r="298" spans="1:15" ht="15" customHeight="1" thickBot="1" x14ac:dyDescent="0.3">
      <c r="A298" s="80">
        <v>723</v>
      </c>
      <c r="B298" s="81"/>
      <c r="C298" s="77">
        <f>+D259</f>
        <v>319828837</v>
      </c>
      <c r="D298" s="78">
        <f>+B298+C298</f>
        <v>319828837</v>
      </c>
      <c r="F298" s="83" t="s">
        <v>218</v>
      </c>
      <c r="G298" s="84"/>
      <c r="H298" s="80">
        <v>723</v>
      </c>
      <c r="I298" s="81">
        <f>+M285</f>
        <v>13992800</v>
      </c>
      <c r="J298" s="77">
        <f>+K259</f>
        <v>227943432</v>
      </c>
      <c r="K298" s="79">
        <f>+I298+J298</f>
        <v>241936232</v>
      </c>
      <c r="M298" s="343"/>
      <c r="N298" s="275"/>
      <c r="O298" s="275"/>
    </row>
    <row r="299" spans="1:15" ht="14.25" hidden="1" customHeight="1" x14ac:dyDescent="0.25">
      <c r="A299" s="85" t="s">
        <v>94</v>
      </c>
      <c r="B299" s="86"/>
      <c r="C299" s="77">
        <f>+D260</f>
        <v>1965625</v>
      </c>
      <c r="D299" s="88">
        <f>+B299+C299</f>
        <v>1965625</v>
      </c>
      <c r="F299" s="45"/>
      <c r="H299" s="85" t="s">
        <v>94</v>
      </c>
      <c r="I299" s="86"/>
      <c r="J299" s="77">
        <f>+K260</f>
        <v>0</v>
      </c>
      <c r="K299" s="89">
        <f>+I299+J299</f>
        <v>0</v>
      </c>
      <c r="M299" s="45"/>
    </row>
    <row r="300" spans="1:15" ht="16.5" thickBot="1" x14ac:dyDescent="0.3">
      <c r="A300" s="90"/>
      <c r="B300" s="91" t="e">
        <f>SUM(B295:B299)</f>
        <v>#REF!</v>
      </c>
      <c r="C300" s="92" t="e">
        <f>SUM(C295:C299)</f>
        <v>#REF!</v>
      </c>
      <c r="D300" s="93" t="e">
        <f>SUM(D295:D299)</f>
        <v>#REF!</v>
      </c>
      <c r="H300" s="90"/>
      <c r="I300" s="94">
        <f>SUM(I295:I299)</f>
        <v>13992800</v>
      </c>
      <c r="J300" s="94">
        <f>SUM(J295:J299)</f>
        <v>245786432</v>
      </c>
      <c r="K300" s="95">
        <f>SUM(K295:K299)</f>
        <v>259779232</v>
      </c>
    </row>
    <row r="301" spans="1:15" ht="14.25" customHeight="1" x14ac:dyDescent="0.25">
      <c r="A301" s="39" t="s">
        <v>46</v>
      </c>
      <c r="B301" s="40"/>
      <c r="H301" s="39" t="s">
        <v>46</v>
      </c>
      <c r="I301" s="40"/>
    </row>
    <row r="302" spans="1:15" ht="12.75" customHeight="1" x14ac:dyDescent="0.25">
      <c r="A302" s="41" t="s">
        <v>47</v>
      </c>
      <c r="H302" s="41" t="s">
        <v>47</v>
      </c>
    </row>
    <row r="303" spans="1:15" ht="12.75" customHeight="1" x14ac:dyDescent="0.25">
      <c r="A303" s="41" t="s">
        <v>48</v>
      </c>
      <c r="H303" s="41" t="s">
        <v>48</v>
      </c>
    </row>
    <row r="304" spans="1:15" x14ac:dyDescent="0.25">
      <c r="A304" s="41" t="s">
        <v>49</v>
      </c>
      <c r="H304" s="41" t="s">
        <v>49</v>
      </c>
    </row>
    <row r="305" spans="1:15" ht="3.75" customHeight="1" x14ac:dyDescent="0.25">
      <c r="A305" s="40"/>
      <c r="B305" s="40"/>
      <c r="H305" s="40"/>
      <c r="I305" s="40"/>
    </row>
    <row r="306" spans="1:15" ht="13.5" customHeight="1" x14ac:dyDescent="0.25">
      <c r="A306" s="45" t="s">
        <v>238</v>
      </c>
      <c r="G306" s="45"/>
      <c r="H306" s="45" t="s">
        <v>239</v>
      </c>
      <c r="N306" s="45"/>
    </row>
    <row r="307" spans="1:15" ht="14.25" customHeight="1" x14ac:dyDescent="0.25">
      <c r="A307" s="47" t="s">
        <v>52</v>
      </c>
      <c r="G307" s="47"/>
      <c r="H307" s="47" t="s">
        <v>97</v>
      </c>
      <c r="N307" s="47"/>
    </row>
    <row r="308" spans="1:15" ht="15" customHeight="1" x14ac:dyDescent="0.25">
      <c r="A308" s="326" t="s">
        <v>201</v>
      </c>
      <c r="B308" s="326"/>
      <c r="C308" s="326"/>
      <c r="D308" s="326"/>
      <c r="E308" s="326"/>
      <c r="F308" s="326"/>
      <c r="G308" s="326"/>
      <c r="H308" s="326" t="s">
        <v>240</v>
      </c>
      <c r="I308" s="326"/>
      <c r="J308" s="326"/>
      <c r="K308" s="326"/>
      <c r="L308" s="326"/>
      <c r="M308" s="326"/>
      <c r="N308" s="326"/>
      <c r="O308" s="326"/>
    </row>
    <row r="309" spans="1:15" ht="6" customHeight="1" thickBot="1" x14ac:dyDescent="0.3"/>
    <row r="310" spans="1:15" x14ac:dyDescent="0.25">
      <c r="A310" s="327" t="s">
        <v>56</v>
      </c>
      <c r="B310" s="322" t="s">
        <v>57</v>
      </c>
      <c r="C310" s="322" t="s">
        <v>58</v>
      </c>
      <c r="D310" s="322" t="s">
        <v>7</v>
      </c>
      <c r="E310" s="322" t="s">
        <v>59</v>
      </c>
      <c r="F310" s="322" t="s">
        <v>60</v>
      </c>
      <c r="G310" s="50" t="s">
        <v>61</v>
      </c>
      <c r="H310" s="327" t="s">
        <v>56</v>
      </c>
      <c r="I310" s="322" t="s">
        <v>57</v>
      </c>
      <c r="J310" s="322" t="s">
        <v>58</v>
      </c>
      <c r="K310" s="322" t="s">
        <v>7</v>
      </c>
      <c r="L310" s="322" t="s">
        <v>59</v>
      </c>
      <c r="M310" s="322" t="s">
        <v>60</v>
      </c>
      <c r="N310" s="322" t="s">
        <v>61</v>
      </c>
      <c r="O310" s="324"/>
    </row>
    <row r="311" spans="1:15" ht="15.75" thickBot="1" x14ac:dyDescent="0.3">
      <c r="A311" s="328"/>
      <c r="B311" s="323"/>
      <c r="C311" s="323"/>
      <c r="D311" s="323"/>
      <c r="E311" s="323"/>
      <c r="F311" s="323"/>
      <c r="G311" s="51" t="s">
        <v>62</v>
      </c>
      <c r="H311" s="328"/>
      <c r="I311" s="323"/>
      <c r="J311" s="323"/>
      <c r="K311" s="323"/>
      <c r="L311" s="323"/>
      <c r="M311" s="323"/>
      <c r="N311" s="51" t="s">
        <v>62</v>
      </c>
      <c r="O311" s="52" t="s">
        <v>63</v>
      </c>
    </row>
    <row r="312" spans="1:15" ht="12.75" customHeight="1" x14ac:dyDescent="0.25">
      <c r="A312" s="318" t="e">
        <f>+A283+1</f>
        <v>#REF!</v>
      </c>
      <c r="B312" s="312">
        <v>42261</v>
      </c>
      <c r="C312" s="314" t="s">
        <v>221</v>
      </c>
      <c r="D312" s="318" t="s">
        <v>241</v>
      </c>
      <c r="E312" s="318" t="s">
        <v>5</v>
      </c>
      <c r="F312" s="320">
        <v>154000</v>
      </c>
      <c r="G312" s="53">
        <v>719</v>
      </c>
      <c r="H312" s="310" t="s">
        <v>242</v>
      </c>
      <c r="I312" s="312">
        <v>45869</v>
      </c>
      <c r="J312" s="314" t="s">
        <v>243</v>
      </c>
      <c r="K312" s="318" t="s">
        <v>69</v>
      </c>
      <c r="L312" s="318" t="s">
        <v>186</v>
      </c>
      <c r="M312" s="320">
        <v>1950000</v>
      </c>
      <c r="N312" s="53">
        <v>719</v>
      </c>
      <c r="O312" s="54">
        <v>0</v>
      </c>
    </row>
    <row r="313" spans="1:15" ht="12" customHeight="1" thickBot="1" x14ac:dyDescent="0.3">
      <c r="A313" s="319"/>
      <c r="B313" s="361"/>
      <c r="C313" s="315"/>
      <c r="D313" s="319"/>
      <c r="E313" s="319"/>
      <c r="F313" s="321"/>
      <c r="G313" s="55">
        <v>721</v>
      </c>
      <c r="H313" s="319"/>
      <c r="I313" s="313"/>
      <c r="J313" s="315"/>
      <c r="K313" s="319"/>
      <c r="L313" s="319"/>
      <c r="M313" s="321"/>
      <c r="N313" s="55">
        <v>723</v>
      </c>
      <c r="O313" s="56">
        <f>+M312-O312</f>
        <v>1950000</v>
      </c>
    </row>
    <row r="314" spans="1:15" ht="12.75" customHeight="1" x14ac:dyDescent="0.25">
      <c r="A314" s="318" t="e">
        <f>+A312+1</f>
        <v>#REF!</v>
      </c>
      <c r="B314" s="312">
        <v>42261</v>
      </c>
      <c r="C314" s="318" t="s">
        <v>70</v>
      </c>
      <c r="D314" s="318" t="s">
        <v>244</v>
      </c>
      <c r="E314" s="318" t="s">
        <v>5</v>
      </c>
      <c r="F314" s="320">
        <v>238000</v>
      </c>
      <c r="G314" s="53">
        <v>719</v>
      </c>
      <c r="H314" s="310" t="s">
        <v>245</v>
      </c>
      <c r="I314" s="312">
        <v>45869</v>
      </c>
      <c r="J314" s="314" t="s">
        <v>79</v>
      </c>
      <c r="K314" s="318" t="s">
        <v>69</v>
      </c>
      <c r="L314" s="316" t="s">
        <v>246</v>
      </c>
      <c r="M314" s="320">
        <v>1550000</v>
      </c>
      <c r="N314" s="53">
        <v>719</v>
      </c>
      <c r="O314" s="54"/>
    </row>
    <row r="315" spans="1:15" ht="14.25" customHeight="1" thickBot="1" x14ac:dyDescent="0.3">
      <c r="A315" s="319"/>
      <c r="B315" s="361"/>
      <c r="C315" s="319"/>
      <c r="D315" s="319"/>
      <c r="E315" s="319"/>
      <c r="F315" s="321"/>
      <c r="G315" s="55">
        <v>721</v>
      </c>
      <c r="H315" s="319"/>
      <c r="I315" s="313"/>
      <c r="J315" s="315"/>
      <c r="K315" s="319"/>
      <c r="L315" s="317"/>
      <c r="M315" s="321"/>
      <c r="N315" s="55">
        <v>723</v>
      </c>
      <c r="O315" s="56">
        <f>+M314-O314</f>
        <v>1550000</v>
      </c>
    </row>
    <row r="316" spans="1:15" ht="12" customHeight="1" x14ac:dyDescent="0.25">
      <c r="A316" s="318" t="e">
        <f>+A314+1</f>
        <v>#REF!</v>
      </c>
      <c r="B316" s="312">
        <v>42261</v>
      </c>
      <c r="C316" s="314" t="s">
        <v>106</v>
      </c>
      <c r="D316" s="318" t="s">
        <v>247</v>
      </c>
      <c r="E316" s="318" t="s">
        <v>5</v>
      </c>
      <c r="F316" s="320">
        <v>98000</v>
      </c>
      <c r="G316" s="53">
        <v>719</v>
      </c>
      <c r="H316" s="310" t="s">
        <v>248</v>
      </c>
      <c r="I316" s="312">
        <v>45869</v>
      </c>
      <c r="J316" s="314" t="s">
        <v>68</v>
      </c>
      <c r="K316" s="318" t="s">
        <v>69</v>
      </c>
      <c r="L316" s="316" t="s">
        <v>246</v>
      </c>
      <c r="M316" s="320">
        <v>610000</v>
      </c>
      <c r="N316" s="53">
        <v>719</v>
      </c>
      <c r="O316" s="54">
        <v>610000</v>
      </c>
    </row>
    <row r="317" spans="1:15" ht="13.5" customHeight="1" thickBot="1" x14ac:dyDescent="0.3">
      <c r="A317" s="319"/>
      <c r="B317" s="361"/>
      <c r="C317" s="315"/>
      <c r="D317" s="319"/>
      <c r="E317" s="319"/>
      <c r="F317" s="321"/>
      <c r="G317" s="55">
        <v>721</v>
      </c>
      <c r="H317" s="319"/>
      <c r="I317" s="313"/>
      <c r="J317" s="315"/>
      <c r="K317" s="319"/>
      <c r="L317" s="317"/>
      <c r="M317" s="321"/>
      <c r="N317" s="55">
        <v>721</v>
      </c>
      <c r="O317" s="56">
        <f>+M316-O316</f>
        <v>0</v>
      </c>
    </row>
    <row r="318" spans="1:15" ht="12.75" customHeight="1" x14ac:dyDescent="0.25">
      <c r="A318" s="318" t="e">
        <f>+A316+1</f>
        <v>#REF!</v>
      </c>
      <c r="B318" s="312">
        <v>42261</v>
      </c>
      <c r="C318" s="314" t="s">
        <v>231</v>
      </c>
      <c r="D318" s="318" t="s">
        <v>241</v>
      </c>
      <c r="E318" s="318" t="s">
        <v>5</v>
      </c>
      <c r="F318" s="320">
        <v>42000</v>
      </c>
      <c r="G318" s="53">
        <v>719</v>
      </c>
      <c r="H318" s="310" t="s">
        <v>249</v>
      </c>
      <c r="I318" s="312">
        <v>45869</v>
      </c>
      <c r="J318" s="314" t="s">
        <v>68</v>
      </c>
      <c r="K318" s="318" t="s">
        <v>69</v>
      </c>
      <c r="L318" s="316" t="s">
        <v>246</v>
      </c>
      <c r="M318" s="320">
        <v>970000</v>
      </c>
      <c r="N318" s="53">
        <v>719</v>
      </c>
      <c r="O318" s="54">
        <v>970000</v>
      </c>
    </row>
    <row r="319" spans="1:15" ht="13.5" customHeight="1" thickBot="1" x14ac:dyDescent="0.3">
      <c r="A319" s="319"/>
      <c r="B319" s="361"/>
      <c r="C319" s="315"/>
      <c r="D319" s="319"/>
      <c r="E319" s="319"/>
      <c r="F319" s="321"/>
      <c r="G319" s="55">
        <v>721</v>
      </c>
      <c r="H319" s="319"/>
      <c r="I319" s="313"/>
      <c r="J319" s="315"/>
      <c r="K319" s="319"/>
      <c r="L319" s="317"/>
      <c r="M319" s="321"/>
      <c r="N319" s="55">
        <v>721</v>
      </c>
      <c r="O319" s="56">
        <f>+M318-O318</f>
        <v>0</v>
      </c>
    </row>
    <row r="320" spans="1:15" ht="13.5" customHeight="1" x14ac:dyDescent="0.25">
      <c r="A320" s="57"/>
      <c r="B320" s="96"/>
      <c r="C320" s="103"/>
      <c r="D320" s="57"/>
      <c r="E320" s="57"/>
      <c r="F320" s="60"/>
      <c r="G320" s="61"/>
      <c r="H320" s="310" t="s">
        <v>250</v>
      </c>
      <c r="I320" s="312">
        <v>45869</v>
      </c>
      <c r="J320" s="314" t="s">
        <v>251</v>
      </c>
      <c r="K320" s="318" t="s">
        <v>69</v>
      </c>
      <c r="L320" s="316" t="s">
        <v>246</v>
      </c>
      <c r="M320" s="320">
        <v>360000</v>
      </c>
      <c r="N320" s="53">
        <v>719</v>
      </c>
      <c r="O320" s="54">
        <v>360000</v>
      </c>
    </row>
    <row r="321" spans="1:15" ht="13.5" customHeight="1" thickBot="1" x14ac:dyDescent="0.3">
      <c r="A321" s="57"/>
      <c r="B321" s="96"/>
      <c r="C321" s="103"/>
      <c r="D321" s="57"/>
      <c r="E321" s="57"/>
      <c r="F321" s="60"/>
      <c r="G321" s="61"/>
      <c r="H321" s="319"/>
      <c r="I321" s="313"/>
      <c r="J321" s="315"/>
      <c r="K321" s="319"/>
      <c r="L321" s="317"/>
      <c r="M321" s="321"/>
      <c r="N321" s="55">
        <v>723</v>
      </c>
      <c r="O321" s="56">
        <f>+M320-O320</f>
        <v>0</v>
      </c>
    </row>
    <row r="322" spans="1:15" ht="13.5" customHeight="1" x14ac:dyDescent="0.25">
      <c r="A322" s="57"/>
      <c r="B322" s="96"/>
      <c r="C322" s="103"/>
      <c r="D322" s="57"/>
      <c r="E322" s="57"/>
      <c r="F322" s="60"/>
      <c r="G322" s="61"/>
      <c r="H322" s="310"/>
      <c r="I322" s="312"/>
      <c r="J322" s="335"/>
      <c r="K322" s="318"/>
      <c r="L322" s="316"/>
      <c r="M322" s="320"/>
      <c r="N322" s="53">
        <v>719</v>
      </c>
      <c r="O322" s="54"/>
    </row>
    <row r="323" spans="1:15" ht="13.5" customHeight="1" thickBot="1" x14ac:dyDescent="0.3">
      <c r="A323" s="57"/>
      <c r="B323" s="96"/>
      <c r="C323" s="103"/>
      <c r="D323" s="57"/>
      <c r="E323" s="57"/>
      <c r="F323" s="60"/>
      <c r="G323" s="61"/>
      <c r="H323" s="319"/>
      <c r="I323" s="313"/>
      <c r="J323" s="336"/>
      <c r="K323" s="319"/>
      <c r="L323" s="317"/>
      <c r="M323" s="321"/>
      <c r="N323" s="55">
        <v>723</v>
      </c>
      <c r="O323" s="56">
        <f>+M322-O322</f>
        <v>0</v>
      </c>
    </row>
    <row r="324" spans="1:15" ht="14.25" customHeight="1" thickBot="1" x14ac:dyDescent="0.3">
      <c r="A324" s="297" t="s">
        <v>80</v>
      </c>
      <c r="B324" s="298"/>
      <c r="C324" s="298"/>
      <c r="D324" s="298"/>
      <c r="E324" s="299"/>
      <c r="F324" s="62">
        <f>SUM(F312:F323)</f>
        <v>532000</v>
      </c>
      <c r="H324" s="297" t="s">
        <v>80</v>
      </c>
      <c r="I324" s="298"/>
      <c r="J324" s="298"/>
      <c r="K324" s="298"/>
      <c r="L324" s="299"/>
      <c r="M324" s="62">
        <f>SUM(M312:M323)</f>
        <v>5440000</v>
      </c>
    </row>
    <row r="325" spans="1:15" ht="14.25" customHeight="1" thickBot="1" x14ac:dyDescent="0.3">
      <c r="A325" s="300" t="s">
        <v>81</v>
      </c>
      <c r="B325" s="301"/>
      <c r="C325" s="301"/>
      <c r="D325" s="301"/>
      <c r="E325" s="302"/>
      <c r="F325" s="63" t="e">
        <f>+F287</f>
        <v>#REF!</v>
      </c>
      <c r="H325" s="300" t="s">
        <v>81</v>
      </c>
      <c r="I325" s="301"/>
      <c r="J325" s="301"/>
      <c r="K325" s="301"/>
      <c r="L325" s="302"/>
      <c r="M325" s="106">
        <v>300532532</v>
      </c>
      <c r="N325" s="64" t="s">
        <v>82</v>
      </c>
      <c r="O325" s="65"/>
    </row>
    <row r="326" spans="1:15" ht="13.5" customHeight="1" thickBot="1" x14ac:dyDescent="0.3">
      <c r="A326" s="303" t="s">
        <v>83</v>
      </c>
      <c r="B326" s="304"/>
      <c r="C326" s="304"/>
      <c r="D326" s="304"/>
      <c r="E326" s="305"/>
      <c r="F326" s="66" t="e">
        <f>SUM(F324:F325)</f>
        <v>#REF!</v>
      </c>
      <c r="H326" s="303" t="s">
        <v>83</v>
      </c>
      <c r="I326" s="304"/>
      <c r="J326" s="304"/>
      <c r="K326" s="304"/>
      <c r="L326" s="305"/>
      <c r="M326" s="66">
        <f>SUM(M324:M325)</f>
        <v>305972532</v>
      </c>
    </row>
    <row r="327" spans="1:15" ht="12" customHeight="1" x14ac:dyDescent="0.25">
      <c r="A327" s="67"/>
      <c r="B327" s="67"/>
      <c r="C327" s="67"/>
      <c r="D327" s="67"/>
      <c r="E327" s="67"/>
      <c r="H327" s="67"/>
      <c r="I327" s="67"/>
      <c r="J327" s="67"/>
      <c r="K327" s="67"/>
      <c r="L327" s="67"/>
    </row>
    <row r="328" spans="1:15" x14ac:dyDescent="0.25">
      <c r="A328" s="41" t="s">
        <v>252</v>
      </c>
      <c r="H328" s="41" t="s">
        <v>253</v>
      </c>
    </row>
    <row r="329" spans="1:15" ht="8.25" customHeight="1" x14ac:dyDescent="0.25">
      <c r="F329" s="68"/>
      <c r="M329" s="68"/>
    </row>
    <row r="330" spans="1:15" ht="12.75" customHeight="1" x14ac:dyDescent="0.25">
      <c r="A330" s="40" t="s">
        <v>86</v>
      </c>
      <c r="D330" s="69"/>
      <c r="F330" s="68"/>
      <c r="H330" s="40" t="s">
        <v>86</v>
      </c>
      <c r="K330" s="69"/>
      <c r="M330" s="68"/>
    </row>
    <row r="331" spans="1:15" ht="5.25" customHeight="1" thickBot="1" x14ac:dyDescent="0.3"/>
    <row r="332" spans="1:15" ht="17.25" thickBot="1" x14ac:dyDescent="0.35">
      <c r="A332" s="306" t="s">
        <v>87</v>
      </c>
      <c r="B332" s="307"/>
      <c r="C332" s="307"/>
      <c r="D332" s="308"/>
      <c r="F332" s="40" t="s">
        <v>237</v>
      </c>
      <c r="H332" s="306" t="s">
        <v>87</v>
      </c>
      <c r="I332" s="307"/>
      <c r="J332" s="307"/>
      <c r="K332" s="308"/>
      <c r="M332" s="350" t="s">
        <v>89</v>
      </c>
      <c r="N332" s="350"/>
      <c r="O332" s="350"/>
    </row>
    <row r="333" spans="1:15" ht="30.75" thickBot="1" x14ac:dyDescent="0.3">
      <c r="A333" s="70" t="s">
        <v>62</v>
      </c>
      <c r="B333" s="71" t="s">
        <v>90</v>
      </c>
      <c r="C333" s="72" t="s">
        <v>91</v>
      </c>
      <c r="D333" s="73" t="s">
        <v>92</v>
      </c>
      <c r="H333" s="70" t="s">
        <v>62</v>
      </c>
      <c r="I333" s="71" t="s">
        <v>90</v>
      </c>
      <c r="J333" s="72" t="s">
        <v>91</v>
      </c>
      <c r="K333" s="73" t="s">
        <v>92</v>
      </c>
    </row>
    <row r="334" spans="1:15" ht="13.5" customHeight="1" x14ac:dyDescent="0.25">
      <c r="A334" s="75">
        <v>719</v>
      </c>
      <c r="B334" s="76" t="e">
        <f>+#REF!+#REF!+#REF!+#REF!+#REF!</f>
        <v>#REF!</v>
      </c>
      <c r="C334" s="77" t="e">
        <f>+D295</f>
        <v>#REF!</v>
      </c>
      <c r="D334" s="78" t="e">
        <f>+B334+C334</f>
        <v>#REF!</v>
      </c>
      <c r="H334" s="75">
        <v>719</v>
      </c>
      <c r="I334" s="76">
        <f>+O316+O318+O320</f>
        <v>1940000</v>
      </c>
      <c r="J334" s="77">
        <f>+K295</f>
        <v>15400000</v>
      </c>
      <c r="K334" s="79">
        <f>+I334+J334</f>
        <v>17340000</v>
      </c>
    </row>
    <row r="335" spans="1:15" ht="13.5" customHeight="1" x14ac:dyDescent="0.25">
      <c r="A335" s="80">
        <v>721</v>
      </c>
      <c r="B335" s="81" t="e">
        <f>+#REF!+#REF!+#REF!+#REF!+#REF!</f>
        <v>#REF!</v>
      </c>
      <c r="C335" s="77" t="e">
        <f>+D296</f>
        <v>#REF!</v>
      </c>
      <c r="D335" s="78" t="e">
        <f>+B335+C335</f>
        <v>#REF!</v>
      </c>
      <c r="H335" s="80">
        <v>721</v>
      </c>
      <c r="I335" s="81"/>
      <c r="J335" s="77">
        <f>+K296</f>
        <v>2443000</v>
      </c>
      <c r="K335" s="79">
        <f>+I335+J335</f>
        <v>2443000</v>
      </c>
    </row>
    <row r="336" spans="1:15" ht="14.25" hidden="1" customHeight="1" x14ac:dyDescent="0.25">
      <c r="A336" s="80">
        <v>722</v>
      </c>
      <c r="B336" s="81"/>
      <c r="C336" s="77" t="e">
        <f>+D297</f>
        <v>#REF!</v>
      </c>
      <c r="D336" s="78" t="e">
        <f>+B336+C336</f>
        <v>#REF!</v>
      </c>
      <c r="H336" s="80">
        <v>722</v>
      </c>
      <c r="I336" s="81"/>
      <c r="J336" s="77">
        <f>+K297</f>
        <v>0</v>
      </c>
      <c r="K336" s="79">
        <f>+I336+J336</f>
        <v>0</v>
      </c>
      <c r="M336" s="343" t="s">
        <v>254</v>
      </c>
      <c r="N336" s="275"/>
      <c r="O336" s="275"/>
    </row>
    <row r="337" spans="1:16" ht="15" customHeight="1" thickBot="1" x14ac:dyDescent="0.3">
      <c r="A337" s="80">
        <v>723</v>
      </c>
      <c r="B337" s="81"/>
      <c r="C337" s="77">
        <f>+D298</f>
        <v>319828837</v>
      </c>
      <c r="D337" s="78">
        <f>+B337+C337</f>
        <v>319828837</v>
      </c>
      <c r="F337" s="83" t="s">
        <v>218</v>
      </c>
      <c r="G337" s="84"/>
      <c r="H337" s="80">
        <v>723</v>
      </c>
      <c r="I337" s="81">
        <f>+O313+O315</f>
        <v>3500000</v>
      </c>
      <c r="J337" s="77">
        <v>282689532</v>
      </c>
      <c r="K337" s="116">
        <f>+I337+J337</f>
        <v>286189532</v>
      </c>
      <c r="M337" s="392" t="s">
        <v>255</v>
      </c>
      <c r="N337" s="392"/>
      <c r="O337" s="392"/>
      <c r="P337" s="117"/>
    </row>
    <row r="338" spans="1:16" ht="13.5" hidden="1" customHeight="1" x14ac:dyDescent="0.25">
      <c r="A338" s="85" t="s">
        <v>94</v>
      </c>
      <c r="B338" s="86"/>
      <c r="C338" s="77">
        <f>+D299</f>
        <v>1965625</v>
      </c>
      <c r="D338" s="88">
        <f>+B338+C338</f>
        <v>1965625</v>
      </c>
      <c r="F338" s="45"/>
      <c r="H338" s="85" t="s">
        <v>94</v>
      </c>
      <c r="I338" s="86"/>
      <c r="J338" s="77">
        <f>+K299</f>
        <v>0</v>
      </c>
      <c r="K338" s="89">
        <f>+I338+J338</f>
        <v>0</v>
      </c>
      <c r="M338" s="45"/>
    </row>
    <row r="339" spans="1:16" ht="16.5" customHeight="1" thickBot="1" x14ac:dyDescent="0.3">
      <c r="A339" s="90"/>
      <c r="B339" s="91" t="e">
        <f>SUM(B334:B338)</f>
        <v>#REF!</v>
      </c>
      <c r="C339" s="92" t="e">
        <f>SUM(C334:C338)</f>
        <v>#REF!</v>
      </c>
      <c r="D339" s="93" t="e">
        <f>SUM(D334:D338)</f>
        <v>#REF!</v>
      </c>
      <c r="H339" s="90"/>
      <c r="I339" s="94">
        <f>SUM(I334:I338)</f>
        <v>5440000</v>
      </c>
      <c r="J339" s="94">
        <f>SUM(J334:J338)</f>
        <v>300532532</v>
      </c>
      <c r="K339" s="95">
        <f>SUM(K334:K338)</f>
        <v>305972532</v>
      </c>
    </row>
    <row r="340" spans="1:16" ht="15.75" customHeight="1" x14ac:dyDescent="0.25">
      <c r="A340" s="39" t="s">
        <v>46</v>
      </c>
      <c r="B340" s="40"/>
      <c r="H340" s="39" t="s">
        <v>46</v>
      </c>
      <c r="I340" s="40"/>
    </row>
    <row r="341" spans="1:16" ht="13.5" customHeight="1" x14ac:dyDescent="0.25">
      <c r="A341" s="41" t="s">
        <v>47</v>
      </c>
      <c r="H341" s="41" t="s">
        <v>47</v>
      </c>
    </row>
    <row r="342" spans="1:16" ht="13.5" customHeight="1" x14ac:dyDescent="0.25">
      <c r="A342" s="41" t="s">
        <v>48</v>
      </c>
      <c r="H342" s="41" t="s">
        <v>48</v>
      </c>
    </row>
    <row r="343" spans="1:16" x14ac:dyDescent="0.25">
      <c r="A343" s="41" t="s">
        <v>49</v>
      </c>
      <c r="H343" s="41" t="s">
        <v>49</v>
      </c>
    </row>
    <row r="344" spans="1:16" ht="2.25" customHeight="1" x14ac:dyDescent="0.25">
      <c r="A344" s="40"/>
      <c r="B344" s="40"/>
      <c r="H344" s="40"/>
      <c r="I344" s="40"/>
    </row>
    <row r="345" spans="1:16" ht="14.25" customHeight="1" x14ac:dyDescent="0.25">
      <c r="A345" s="45" t="s">
        <v>256</v>
      </c>
      <c r="G345" s="45"/>
      <c r="H345" s="45" t="s">
        <v>257</v>
      </c>
      <c r="N345" s="45"/>
    </row>
    <row r="346" spans="1:16" ht="14.25" customHeight="1" x14ac:dyDescent="0.25">
      <c r="A346" s="47" t="s">
        <v>52</v>
      </c>
      <c r="G346" s="47"/>
      <c r="H346" s="47" t="s">
        <v>97</v>
      </c>
      <c r="N346" s="47"/>
    </row>
    <row r="347" spans="1:16" ht="15" customHeight="1" x14ac:dyDescent="0.25">
      <c r="A347" s="326" t="s">
        <v>258</v>
      </c>
      <c r="B347" s="326"/>
      <c r="C347" s="326"/>
      <c r="D347" s="326"/>
      <c r="E347" s="326"/>
      <c r="F347" s="326"/>
      <c r="G347" s="326"/>
      <c r="H347" s="326" t="s">
        <v>116</v>
      </c>
      <c r="I347" s="326"/>
      <c r="J347" s="326"/>
      <c r="K347" s="326"/>
      <c r="L347" s="326"/>
      <c r="M347" s="326"/>
      <c r="N347" s="326"/>
      <c r="O347" s="326"/>
    </row>
    <row r="348" spans="1:16" ht="9.75" customHeight="1" thickBot="1" x14ac:dyDescent="0.3"/>
    <row r="349" spans="1:16" ht="16.5" x14ac:dyDescent="0.25">
      <c r="A349" s="327" t="s">
        <v>56</v>
      </c>
      <c r="B349" s="322" t="s">
        <v>57</v>
      </c>
      <c r="C349" s="322" t="s">
        <v>58</v>
      </c>
      <c r="D349" s="322" t="s">
        <v>7</v>
      </c>
      <c r="E349" s="322" t="s">
        <v>59</v>
      </c>
      <c r="F349" s="322" t="s">
        <v>60</v>
      </c>
      <c r="G349" s="50" t="s">
        <v>61</v>
      </c>
      <c r="H349" s="389" t="s">
        <v>56</v>
      </c>
      <c r="I349" s="387" t="s">
        <v>57</v>
      </c>
      <c r="J349" s="387" t="s">
        <v>58</v>
      </c>
      <c r="K349" s="387" t="s">
        <v>7</v>
      </c>
      <c r="L349" s="387" t="s">
        <v>59</v>
      </c>
      <c r="M349" s="387" t="s">
        <v>60</v>
      </c>
      <c r="N349" s="387" t="s">
        <v>61</v>
      </c>
      <c r="O349" s="388"/>
    </row>
    <row r="350" spans="1:16" ht="17.25" thickBot="1" x14ac:dyDescent="0.3">
      <c r="A350" s="328"/>
      <c r="B350" s="323"/>
      <c r="C350" s="323"/>
      <c r="D350" s="323"/>
      <c r="E350" s="323"/>
      <c r="F350" s="323"/>
      <c r="G350" s="51" t="s">
        <v>62</v>
      </c>
      <c r="H350" s="390"/>
      <c r="I350" s="391"/>
      <c r="J350" s="391"/>
      <c r="K350" s="391"/>
      <c r="L350" s="391"/>
      <c r="M350" s="391"/>
      <c r="N350" s="118" t="s">
        <v>62</v>
      </c>
      <c r="O350" s="119" t="s">
        <v>63</v>
      </c>
    </row>
    <row r="351" spans="1:16" ht="10.5" customHeight="1" x14ac:dyDescent="0.25">
      <c r="A351" s="318" t="e">
        <f>+#REF!+1</f>
        <v>#REF!</v>
      </c>
      <c r="B351" s="312">
        <v>42261</v>
      </c>
      <c r="C351" s="314" t="s">
        <v>221</v>
      </c>
      <c r="D351" s="318" t="s">
        <v>259</v>
      </c>
      <c r="E351" s="318" t="s">
        <v>66</v>
      </c>
      <c r="F351" s="320">
        <v>130000</v>
      </c>
      <c r="G351" s="53">
        <v>719</v>
      </c>
      <c r="H351" s="310" t="s">
        <v>260</v>
      </c>
      <c r="I351" s="312">
        <v>45898</v>
      </c>
      <c r="J351" s="314" t="s">
        <v>68</v>
      </c>
      <c r="K351" s="318" t="s">
        <v>261</v>
      </c>
      <c r="L351" s="318" t="s">
        <v>5</v>
      </c>
      <c r="M351" s="320">
        <v>520000</v>
      </c>
      <c r="N351" s="53">
        <v>719</v>
      </c>
      <c r="O351" s="54">
        <v>520000</v>
      </c>
    </row>
    <row r="352" spans="1:16" ht="12.75" customHeight="1" thickBot="1" x14ac:dyDescent="0.3">
      <c r="A352" s="319"/>
      <c r="B352" s="361"/>
      <c r="C352" s="315"/>
      <c r="D352" s="319"/>
      <c r="E352" s="319"/>
      <c r="F352" s="321"/>
      <c r="G352" s="55">
        <v>721</v>
      </c>
      <c r="H352" s="319"/>
      <c r="I352" s="313"/>
      <c r="J352" s="315"/>
      <c r="K352" s="319"/>
      <c r="L352" s="319"/>
      <c r="M352" s="321"/>
      <c r="N352" s="55">
        <v>723</v>
      </c>
      <c r="O352" s="56"/>
    </row>
    <row r="353" spans="1:15" ht="11.25" customHeight="1" x14ac:dyDescent="0.25">
      <c r="A353" s="57"/>
      <c r="B353" s="96"/>
      <c r="C353" s="103"/>
      <c r="D353" s="57"/>
      <c r="E353" s="57"/>
      <c r="F353" s="60"/>
      <c r="G353" s="61"/>
      <c r="H353" s="310" t="s">
        <v>262</v>
      </c>
      <c r="I353" s="312">
        <v>45898</v>
      </c>
      <c r="J353" s="314" t="s">
        <v>68</v>
      </c>
      <c r="K353" s="318" t="s">
        <v>263</v>
      </c>
      <c r="L353" s="318" t="s">
        <v>5</v>
      </c>
      <c r="M353" s="320">
        <v>560000</v>
      </c>
      <c r="N353" s="53">
        <v>719</v>
      </c>
      <c r="O353" s="54">
        <v>560000</v>
      </c>
    </row>
    <row r="354" spans="1:15" ht="12.75" customHeight="1" thickBot="1" x14ac:dyDescent="0.3">
      <c r="A354" s="57"/>
      <c r="B354" s="96"/>
      <c r="C354" s="103"/>
      <c r="D354" s="57"/>
      <c r="E354" s="57"/>
      <c r="F354" s="60"/>
      <c r="G354" s="61"/>
      <c r="H354" s="319"/>
      <c r="I354" s="313"/>
      <c r="J354" s="315"/>
      <c r="K354" s="319"/>
      <c r="L354" s="319"/>
      <c r="M354" s="321"/>
      <c r="N354" s="55">
        <v>723</v>
      </c>
      <c r="O354" s="56"/>
    </row>
    <row r="355" spans="1:15" ht="13.5" customHeight="1" x14ac:dyDescent="0.25">
      <c r="A355" s="318" t="e">
        <f>+A351+1</f>
        <v>#REF!</v>
      </c>
      <c r="B355" s="312">
        <v>42261</v>
      </c>
      <c r="C355" s="318" t="s">
        <v>70</v>
      </c>
      <c r="D355" s="318" t="s">
        <v>264</v>
      </c>
      <c r="E355" s="318" t="s">
        <v>66</v>
      </c>
      <c r="F355" s="320">
        <v>70000</v>
      </c>
      <c r="G355" s="53">
        <v>719</v>
      </c>
      <c r="H355" s="310" t="s">
        <v>265</v>
      </c>
      <c r="I355" s="312">
        <v>45898</v>
      </c>
      <c r="J355" s="314" t="s">
        <v>136</v>
      </c>
      <c r="K355" s="318" t="s">
        <v>266</v>
      </c>
      <c r="L355" s="318" t="s">
        <v>5</v>
      </c>
      <c r="M355" s="320">
        <v>480000</v>
      </c>
      <c r="N355" s="53">
        <v>719</v>
      </c>
      <c r="O355" s="54">
        <v>480000</v>
      </c>
    </row>
    <row r="356" spans="1:15" ht="12.75" customHeight="1" thickBot="1" x14ac:dyDescent="0.3">
      <c r="A356" s="319"/>
      <c r="B356" s="313"/>
      <c r="C356" s="319"/>
      <c r="D356" s="319"/>
      <c r="E356" s="319"/>
      <c r="F356" s="321"/>
      <c r="G356" s="55">
        <v>721</v>
      </c>
      <c r="H356" s="319"/>
      <c r="I356" s="313"/>
      <c r="J356" s="315"/>
      <c r="K356" s="319"/>
      <c r="L356" s="319"/>
      <c r="M356" s="321"/>
      <c r="N356" s="55">
        <v>721</v>
      </c>
      <c r="O356" s="56"/>
    </row>
    <row r="357" spans="1:15" ht="12.75" customHeight="1" x14ac:dyDescent="0.25">
      <c r="A357" s="57"/>
      <c r="B357" s="58"/>
      <c r="C357" s="57"/>
      <c r="D357" s="57"/>
      <c r="E357" s="57"/>
      <c r="F357" s="60"/>
      <c r="G357" s="61"/>
      <c r="H357" s="310" t="s">
        <v>267</v>
      </c>
      <c r="I357" s="312">
        <v>45898</v>
      </c>
      <c r="J357" s="314" t="s">
        <v>136</v>
      </c>
      <c r="K357" s="318" t="s">
        <v>268</v>
      </c>
      <c r="L357" s="318" t="s">
        <v>5</v>
      </c>
      <c r="M357" s="320">
        <v>490000</v>
      </c>
      <c r="N357" s="53">
        <v>719</v>
      </c>
      <c r="O357" s="54">
        <v>490000</v>
      </c>
    </row>
    <row r="358" spans="1:15" ht="12.75" customHeight="1" thickBot="1" x14ac:dyDescent="0.3">
      <c r="A358" s="57"/>
      <c r="B358" s="58"/>
      <c r="C358" s="57"/>
      <c r="D358" s="57"/>
      <c r="E358" s="57"/>
      <c r="F358" s="60"/>
      <c r="G358" s="61"/>
      <c r="H358" s="319"/>
      <c r="I358" s="313"/>
      <c r="J358" s="315"/>
      <c r="K358" s="319"/>
      <c r="L358" s="319"/>
      <c r="M358" s="321"/>
      <c r="N358" s="55">
        <v>721</v>
      </c>
      <c r="O358" s="56">
        <f>+M357-O357</f>
        <v>0</v>
      </c>
    </row>
    <row r="359" spans="1:15" ht="12.75" customHeight="1" x14ac:dyDescent="0.25">
      <c r="A359" s="318" t="e">
        <f>+#REF!+1</f>
        <v>#REF!</v>
      </c>
      <c r="B359" s="312">
        <v>42261</v>
      </c>
      <c r="C359" s="335" t="s">
        <v>269</v>
      </c>
      <c r="D359" s="318" t="s">
        <v>270</v>
      </c>
      <c r="E359" s="318" t="s">
        <v>127</v>
      </c>
      <c r="F359" s="320">
        <v>300000</v>
      </c>
      <c r="G359" s="53">
        <v>719</v>
      </c>
      <c r="H359" s="310" t="s">
        <v>271</v>
      </c>
      <c r="I359" s="312">
        <v>45898</v>
      </c>
      <c r="J359" s="314" t="s">
        <v>136</v>
      </c>
      <c r="K359" s="318" t="s">
        <v>272</v>
      </c>
      <c r="L359" s="318" t="s">
        <v>5</v>
      </c>
      <c r="M359" s="320">
        <v>500000</v>
      </c>
      <c r="N359" s="53">
        <v>719</v>
      </c>
      <c r="O359" s="54">
        <v>500000</v>
      </c>
    </row>
    <row r="360" spans="1:15" ht="13.5" customHeight="1" thickBot="1" x14ac:dyDescent="0.3">
      <c r="A360" s="319"/>
      <c r="B360" s="313"/>
      <c r="C360" s="336"/>
      <c r="D360" s="319"/>
      <c r="E360" s="319"/>
      <c r="F360" s="321"/>
      <c r="G360" s="55">
        <v>723</v>
      </c>
      <c r="H360" s="319"/>
      <c r="I360" s="313"/>
      <c r="J360" s="315"/>
      <c r="K360" s="319"/>
      <c r="L360" s="319"/>
      <c r="M360" s="321"/>
      <c r="N360" s="55">
        <v>721</v>
      </c>
      <c r="O360" s="56">
        <f>+M359-O359</f>
        <v>0</v>
      </c>
    </row>
    <row r="361" spans="1:15" ht="14.25" customHeight="1" thickBot="1" x14ac:dyDescent="0.3">
      <c r="A361" s="297" t="s">
        <v>80</v>
      </c>
      <c r="B361" s="298"/>
      <c r="C361" s="298"/>
      <c r="D361" s="298"/>
      <c r="E361" s="299"/>
      <c r="F361" s="62">
        <f>SUM(F351:F360)</f>
        <v>500000</v>
      </c>
      <c r="H361" s="297" t="s">
        <v>80</v>
      </c>
      <c r="I361" s="298"/>
      <c r="J361" s="298"/>
      <c r="K361" s="298"/>
      <c r="L361" s="299"/>
      <c r="M361" s="62">
        <f>SUM(M351:M360)</f>
        <v>2550000</v>
      </c>
    </row>
    <row r="362" spans="1:15" ht="15" customHeight="1" thickBot="1" x14ac:dyDescent="0.3">
      <c r="A362" s="300" t="s">
        <v>81</v>
      </c>
      <c r="B362" s="301"/>
      <c r="C362" s="301"/>
      <c r="D362" s="301"/>
      <c r="E362" s="302"/>
      <c r="F362" s="63" t="e">
        <f>+F326</f>
        <v>#REF!</v>
      </c>
      <c r="H362" s="300" t="s">
        <v>81</v>
      </c>
      <c r="I362" s="301"/>
      <c r="J362" s="301"/>
      <c r="K362" s="301"/>
      <c r="L362" s="302"/>
      <c r="M362" s="106">
        <f>+K339</f>
        <v>305972532</v>
      </c>
      <c r="N362" s="64" t="s">
        <v>82</v>
      </c>
      <c r="O362" s="65"/>
    </row>
    <row r="363" spans="1:15" ht="16.5" customHeight="1" thickBot="1" x14ac:dyDescent="0.3">
      <c r="A363" s="303" t="s">
        <v>83</v>
      </c>
      <c r="B363" s="304"/>
      <c r="C363" s="304"/>
      <c r="D363" s="304"/>
      <c r="E363" s="305"/>
      <c r="F363" s="66" t="e">
        <f>SUM(F361:F362)</f>
        <v>#REF!</v>
      </c>
      <c r="H363" s="303" t="s">
        <v>83</v>
      </c>
      <c r="I363" s="304"/>
      <c r="J363" s="304"/>
      <c r="K363" s="304"/>
      <c r="L363" s="305"/>
      <c r="M363" s="66">
        <f>SUM(M361:M362)</f>
        <v>308522532</v>
      </c>
    </row>
    <row r="364" spans="1:15" ht="5.25" customHeight="1" x14ac:dyDescent="0.25">
      <c r="A364" s="67"/>
      <c r="B364" s="67"/>
      <c r="C364" s="67"/>
      <c r="D364" s="67"/>
      <c r="E364" s="67"/>
      <c r="H364" s="67"/>
      <c r="I364" s="67"/>
      <c r="J364" s="67"/>
      <c r="K364" s="67"/>
      <c r="L364" s="67"/>
    </row>
    <row r="365" spans="1:15" x14ac:dyDescent="0.25">
      <c r="A365" s="41" t="s">
        <v>273</v>
      </c>
      <c r="H365" s="41" t="s">
        <v>274</v>
      </c>
    </row>
    <row r="366" spans="1:15" ht="11.25" customHeight="1" x14ac:dyDescent="0.25">
      <c r="F366" s="68"/>
      <c r="M366" s="68"/>
    </row>
    <row r="367" spans="1:15" ht="12.75" customHeight="1" x14ac:dyDescent="0.25">
      <c r="A367" s="40" t="s">
        <v>86</v>
      </c>
      <c r="D367" s="69"/>
      <c r="F367" s="68"/>
      <c r="H367" s="40" t="s">
        <v>86</v>
      </c>
      <c r="K367" s="69"/>
      <c r="M367" s="68" t="s">
        <v>275</v>
      </c>
    </row>
    <row r="368" spans="1:15" ht="9.75" customHeight="1" thickBot="1" x14ac:dyDescent="0.3"/>
    <row r="369" spans="1:15" ht="17.25" thickBot="1" x14ac:dyDescent="0.35">
      <c r="A369" s="306" t="s">
        <v>87</v>
      </c>
      <c r="B369" s="307"/>
      <c r="C369" s="307"/>
      <c r="D369" s="308"/>
      <c r="F369" s="40" t="s">
        <v>237</v>
      </c>
      <c r="H369" s="306" t="s">
        <v>87</v>
      </c>
      <c r="I369" s="307"/>
      <c r="J369" s="307"/>
      <c r="K369" s="308"/>
      <c r="M369" s="350" t="s">
        <v>89</v>
      </c>
      <c r="N369" s="350"/>
      <c r="O369" s="350"/>
    </row>
    <row r="370" spans="1:15" ht="42.75" customHeight="1" thickBot="1" x14ac:dyDescent="0.3">
      <c r="A370" s="70" t="s">
        <v>62</v>
      </c>
      <c r="B370" s="71" t="s">
        <v>90</v>
      </c>
      <c r="C370" s="72" t="s">
        <v>91</v>
      </c>
      <c r="D370" s="73" t="s">
        <v>92</v>
      </c>
      <c r="H370" s="70" t="s">
        <v>62</v>
      </c>
      <c r="I370" s="71" t="s">
        <v>90</v>
      </c>
      <c r="J370" s="72" t="s">
        <v>91</v>
      </c>
      <c r="K370" s="73" t="s">
        <v>92</v>
      </c>
    </row>
    <row r="371" spans="1:15" ht="13.5" customHeight="1" x14ac:dyDescent="0.25">
      <c r="A371" s="75">
        <v>719</v>
      </c>
      <c r="B371" s="76" t="e">
        <f>+#REF!+#REF!+#REF!+#REF!+#REF!</f>
        <v>#REF!</v>
      </c>
      <c r="C371" s="77" t="e">
        <f>+D334</f>
        <v>#REF!</v>
      </c>
      <c r="D371" s="78" t="e">
        <f>+B371+C371</f>
        <v>#REF!</v>
      </c>
      <c r="H371" s="75">
        <v>719</v>
      </c>
      <c r="I371" s="76">
        <f>O351+O353+O355+O357+O359</f>
        <v>2550000</v>
      </c>
      <c r="J371" s="77">
        <f>+K334</f>
        <v>17340000</v>
      </c>
      <c r="K371" s="79">
        <f>+I371+J371</f>
        <v>19890000</v>
      </c>
      <c r="L371" s="68"/>
    </row>
    <row r="372" spans="1:15" ht="13.5" customHeight="1" x14ac:dyDescent="0.25">
      <c r="A372" s="80">
        <v>721</v>
      </c>
      <c r="B372" s="81"/>
      <c r="C372" s="77" t="e">
        <f>+D335</f>
        <v>#REF!</v>
      </c>
      <c r="D372" s="78" t="e">
        <f>+B372+C372</f>
        <v>#REF!</v>
      </c>
      <c r="H372" s="80">
        <v>721</v>
      </c>
      <c r="I372" s="81">
        <f>+O356+O358+O360</f>
        <v>0</v>
      </c>
      <c r="J372" s="77">
        <f>+K335</f>
        <v>2443000</v>
      </c>
      <c r="K372" s="79">
        <f>+I372+J372</f>
        <v>2443000</v>
      </c>
    </row>
    <row r="373" spans="1:15" ht="13.5" customHeight="1" x14ac:dyDescent="0.25">
      <c r="A373" s="80">
        <v>722</v>
      </c>
      <c r="B373" s="81"/>
      <c r="C373" s="77" t="e">
        <f>+D336</f>
        <v>#REF!</v>
      </c>
      <c r="D373" s="78" t="e">
        <f>+B373+C373</f>
        <v>#REF!</v>
      </c>
      <c r="H373" s="80">
        <v>722</v>
      </c>
      <c r="I373" s="81"/>
      <c r="J373" s="77">
        <f>+K336</f>
        <v>0</v>
      </c>
      <c r="K373" s="79">
        <f>+I373+J373</f>
        <v>0</v>
      </c>
    </row>
    <row r="374" spans="1:15" ht="13.5" customHeight="1" thickBot="1" x14ac:dyDescent="0.3">
      <c r="A374" s="80">
        <v>723</v>
      </c>
      <c r="B374" s="81" t="e">
        <f>+#REF!+#REF!</f>
        <v>#REF!</v>
      </c>
      <c r="C374" s="77">
        <f>+D337</f>
        <v>319828837</v>
      </c>
      <c r="D374" s="78" t="e">
        <f>+B374+C374</f>
        <v>#REF!</v>
      </c>
      <c r="F374" s="83" t="s">
        <v>218</v>
      </c>
      <c r="G374" s="84"/>
      <c r="H374" s="80">
        <v>723</v>
      </c>
      <c r="I374" s="81">
        <f>+O352+O354</f>
        <v>0</v>
      </c>
      <c r="J374" s="77">
        <f>+K337</f>
        <v>286189532</v>
      </c>
      <c r="K374" s="79">
        <f>+I374+J374</f>
        <v>286189532</v>
      </c>
      <c r="M374" s="343" t="s">
        <v>255</v>
      </c>
      <c r="N374" s="275"/>
      <c r="O374" s="275"/>
    </row>
    <row r="375" spans="1:15" ht="11.25" hidden="1" customHeight="1" x14ac:dyDescent="0.25">
      <c r="A375" s="85" t="s">
        <v>94</v>
      </c>
      <c r="B375" s="86"/>
      <c r="C375" s="77">
        <f>+D338</f>
        <v>1965625</v>
      </c>
      <c r="D375" s="88">
        <f>+B375+C375</f>
        <v>1965625</v>
      </c>
      <c r="F375" s="45"/>
      <c r="H375" s="85" t="s">
        <v>94</v>
      </c>
      <c r="I375" s="86"/>
      <c r="J375" s="77">
        <f>+K338</f>
        <v>0</v>
      </c>
      <c r="K375" s="89">
        <f>+I375+J375</f>
        <v>0</v>
      </c>
      <c r="M375" s="45"/>
    </row>
    <row r="376" spans="1:15" ht="16.5" thickBot="1" x14ac:dyDescent="0.3">
      <c r="A376" s="90"/>
      <c r="B376" s="91" t="e">
        <f>SUM(B371:B375)</f>
        <v>#REF!</v>
      </c>
      <c r="C376" s="92" t="e">
        <f>SUM(C371:C375)</f>
        <v>#REF!</v>
      </c>
      <c r="D376" s="93" t="e">
        <f>SUM(D371:D375)</f>
        <v>#REF!</v>
      </c>
      <c r="H376" s="90"/>
      <c r="I376" s="94">
        <f>SUM(I371:I375)</f>
        <v>2550000</v>
      </c>
      <c r="J376" s="94">
        <f>SUM(J371:J375)</f>
        <v>305972532</v>
      </c>
      <c r="K376" s="95">
        <f>SUM(K371:K375)</f>
        <v>308522532</v>
      </c>
    </row>
    <row r="377" spans="1:15" ht="14.25" customHeight="1" x14ac:dyDescent="0.25">
      <c r="A377" s="39" t="s">
        <v>46</v>
      </c>
      <c r="B377" s="40"/>
      <c r="H377" s="39" t="s">
        <v>46</v>
      </c>
      <c r="I377" s="40"/>
    </row>
    <row r="378" spans="1:15" ht="15.75" customHeight="1" x14ac:dyDescent="0.25">
      <c r="A378" s="41" t="s">
        <v>47</v>
      </c>
      <c r="H378" s="41" t="s">
        <v>47</v>
      </c>
    </row>
    <row r="379" spans="1:15" ht="15.75" customHeight="1" x14ac:dyDescent="0.25">
      <c r="A379" s="41" t="s">
        <v>48</v>
      </c>
      <c r="H379" s="41" t="s">
        <v>48</v>
      </c>
    </row>
    <row r="380" spans="1:15" ht="17.25" customHeight="1" x14ac:dyDescent="0.25">
      <c r="A380" s="41" t="s">
        <v>49</v>
      </c>
      <c r="H380" s="41" t="s">
        <v>49</v>
      </c>
    </row>
    <row r="381" spans="1:15" ht="3.75" customHeight="1" x14ac:dyDescent="0.25">
      <c r="A381" s="40"/>
      <c r="B381" s="40"/>
      <c r="H381" s="40"/>
      <c r="I381" s="40"/>
    </row>
    <row r="382" spans="1:15" ht="14.25" customHeight="1" x14ac:dyDescent="0.25">
      <c r="A382" s="45" t="s">
        <v>276</v>
      </c>
      <c r="G382" s="45"/>
      <c r="H382" s="45" t="s">
        <v>277</v>
      </c>
      <c r="N382" s="45"/>
    </row>
    <row r="383" spans="1:15" ht="15.75" x14ac:dyDescent="0.25">
      <c r="A383" s="47" t="s">
        <v>52</v>
      </c>
      <c r="G383" s="47"/>
      <c r="H383" s="47" t="s">
        <v>97</v>
      </c>
      <c r="N383" s="47"/>
    </row>
    <row r="384" spans="1:15" ht="14.25" customHeight="1" x14ac:dyDescent="0.25">
      <c r="A384" s="326" t="s">
        <v>201</v>
      </c>
      <c r="B384" s="326"/>
      <c r="C384" s="326"/>
      <c r="D384" s="326"/>
      <c r="E384" s="326"/>
      <c r="F384" s="326"/>
      <c r="G384" s="326"/>
      <c r="H384" s="326" t="s">
        <v>278</v>
      </c>
      <c r="I384" s="326"/>
      <c r="J384" s="326"/>
      <c r="K384" s="326"/>
      <c r="L384" s="326"/>
      <c r="M384" s="326"/>
      <c r="N384" s="326"/>
      <c r="O384" s="326"/>
    </row>
    <row r="385" spans="1:15" ht="4.5" customHeight="1" thickBot="1" x14ac:dyDescent="0.3"/>
    <row r="386" spans="1:15" x14ac:dyDescent="0.25">
      <c r="A386" s="327" t="s">
        <v>56</v>
      </c>
      <c r="B386" s="322" t="s">
        <v>57</v>
      </c>
      <c r="C386" s="322" t="s">
        <v>58</v>
      </c>
      <c r="D386" s="322" t="s">
        <v>7</v>
      </c>
      <c r="E386" s="322" t="s">
        <v>59</v>
      </c>
      <c r="F386" s="322" t="s">
        <v>60</v>
      </c>
      <c r="G386" s="50" t="s">
        <v>61</v>
      </c>
      <c r="H386" s="327" t="s">
        <v>56</v>
      </c>
      <c r="I386" s="322" t="s">
        <v>57</v>
      </c>
      <c r="J386" s="322" t="s">
        <v>58</v>
      </c>
      <c r="K386" s="322" t="s">
        <v>7</v>
      </c>
      <c r="L386" s="322" t="s">
        <v>59</v>
      </c>
      <c r="M386" s="322" t="s">
        <v>60</v>
      </c>
      <c r="N386" s="322" t="s">
        <v>61</v>
      </c>
      <c r="O386" s="324"/>
    </row>
    <row r="387" spans="1:15" ht="15.75" thickBot="1" x14ac:dyDescent="0.3">
      <c r="A387" s="328"/>
      <c r="B387" s="323"/>
      <c r="C387" s="323"/>
      <c r="D387" s="323"/>
      <c r="E387" s="323"/>
      <c r="F387" s="323"/>
      <c r="G387" s="51" t="s">
        <v>62</v>
      </c>
      <c r="H387" s="328"/>
      <c r="I387" s="323"/>
      <c r="J387" s="323"/>
      <c r="K387" s="323"/>
      <c r="L387" s="323"/>
      <c r="M387" s="323"/>
      <c r="N387" s="51" t="s">
        <v>62</v>
      </c>
      <c r="O387" s="52" t="s">
        <v>63</v>
      </c>
    </row>
    <row r="388" spans="1:15" ht="13.5" customHeight="1" x14ac:dyDescent="0.25">
      <c r="A388" s="318" t="e">
        <f>+A359+1</f>
        <v>#REF!</v>
      </c>
      <c r="B388" s="312">
        <v>42264</v>
      </c>
      <c r="C388" s="314" t="s">
        <v>221</v>
      </c>
      <c r="D388" s="318" t="s">
        <v>279</v>
      </c>
      <c r="E388" s="318" t="s">
        <v>5</v>
      </c>
      <c r="F388" s="320">
        <v>168000</v>
      </c>
      <c r="G388" s="53">
        <v>719</v>
      </c>
      <c r="H388" s="310" t="s">
        <v>280</v>
      </c>
      <c r="I388" s="312">
        <v>45898</v>
      </c>
      <c r="J388" s="314" t="s">
        <v>281</v>
      </c>
      <c r="K388" s="318" t="s">
        <v>282</v>
      </c>
      <c r="L388" s="318" t="s">
        <v>283</v>
      </c>
      <c r="M388" s="320">
        <v>390000</v>
      </c>
      <c r="N388" s="53">
        <v>719</v>
      </c>
      <c r="O388" s="54">
        <v>390000</v>
      </c>
    </row>
    <row r="389" spans="1:15" ht="14.25" customHeight="1" thickBot="1" x14ac:dyDescent="0.3">
      <c r="A389" s="319"/>
      <c r="B389" s="361"/>
      <c r="C389" s="315"/>
      <c r="D389" s="319"/>
      <c r="E389" s="319"/>
      <c r="F389" s="321"/>
      <c r="G389" s="55">
        <v>721</v>
      </c>
      <c r="H389" s="319"/>
      <c r="I389" s="313"/>
      <c r="J389" s="315"/>
      <c r="K389" s="319"/>
      <c r="L389" s="319"/>
      <c r="M389" s="321"/>
      <c r="N389" s="55">
        <v>723</v>
      </c>
      <c r="O389" s="56"/>
    </row>
    <row r="390" spans="1:15" ht="9" customHeight="1" x14ac:dyDescent="0.25">
      <c r="A390" s="57"/>
      <c r="B390" s="96"/>
      <c r="C390" s="103"/>
      <c r="D390" s="57"/>
      <c r="E390" s="57"/>
      <c r="F390" s="60"/>
      <c r="G390" s="61"/>
      <c r="H390" s="310" t="s">
        <v>284</v>
      </c>
      <c r="I390" s="312">
        <v>45898</v>
      </c>
      <c r="J390" s="314" t="s">
        <v>285</v>
      </c>
      <c r="K390" s="318" t="s">
        <v>286</v>
      </c>
      <c r="L390" s="318" t="s">
        <v>66</v>
      </c>
      <c r="M390" s="320">
        <v>2801900</v>
      </c>
      <c r="N390" s="53">
        <v>719</v>
      </c>
      <c r="O390" s="54"/>
    </row>
    <row r="391" spans="1:15" ht="14.25" customHeight="1" thickBot="1" x14ac:dyDescent="0.3">
      <c r="A391" s="57"/>
      <c r="B391" s="96"/>
      <c r="C391" s="103"/>
      <c r="D391" s="57"/>
      <c r="E391" s="57"/>
      <c r="F391" s="60"/>
      <c r="G391" s="61"/>
      <c r="H391" s="319"/>
      <c r="I391" s="313"/>
      <c r="J391" s="315"/>
      <c r="K391" s="319"/>
      <c r="L391" s="319"/>
      <c r="M391" s="321"/>
      <c r="N391" s="55">
        <v>723</v>
      </c>
      <c r="O391" s="56">
        <f>+M390-O390</f>
        <v>2801900</v>
      </c>
    </row>
    <row r="392" spans="1:15" ht="14.25" customHeight="1" x14ac:dyDescent="0.25">
      <c r="A392" s="57"/>
      <c r="B392" s="96"/>
      <c r="C392" s="103"/>
      <c r="D392" s="57"/>
      <c r="E392" s="57"/>
      <c r="F392" s="60"/>
      <c r="G392" s="61"/>
      <c r="H392" s="310" t="s">
        <v>287</v>
      </c>
      <c r="I392" s="312">
        <v>45898</v>
      </c>
      <c r="J392" s="314" t="s">
        <v>288</v>
      </c>
      <c r="K392" s="318" t="s">
        <v>289</v>
      </c>
      <c r="L392" s="318" t="s">
        <v>5</v>
      </c>
      <c r="M392" s="320">
        <v>913000</v>
      </c>
      <c r="N392" s="53">
        <v>719</v>
      </c>
      <c r="O392" s="54"/>
    </row>
    <row r="393" spans="1:15" ht="14.25" customHeight="1" thickBot="1" x14ac:dyDescent="0.3">
      <c r="A393" s="57"/>
      <c r="B393" s="96"/>
      <c r="C393" s="103"/>
      <c r="D393" s="57"/>
      <c r="E393" s="57"/>
      <c r="F393" s="60"/>
      <c r="G393" s="61"/>
      <c r="H393" s="319"/>
      <c r="I393" s="313"/>
      <c r="J393" s="315"/>
      <c r="K393" s="319"/>
      <c r="L393" s="319"/>
      <c r="M393" s="321"/>
      <c r="N393" s="55">
        <v>723</v>
      </c>
      <c r="O393" s="56">
        <f>+M392-O392</f>
        <v>913000</v>
      </c>
    </row>
    <row r="394" spans="1:15" ht="10.5" customHeight="1" x14ac:dyDescent="0.25">
      <c r="A394" s="318" t="e">
        <f>+A388+1</f>
        <v>#REF!</v>
      </c>
      <c r="B394" s="312">
        <v>42264</v>
      </c>
      <c r="C394" s="318" t="s">
        <v>70</v>
      </c>
      <c r="D394" s="318" t="s">
        <v>290</v>
      </c>
      <c r="E394" s="318" t="s">
        <v>5</v>
      </c>
      <c r="F394" s="320">
        <v>238000</v>
      </c>
      <c r="G394" s="53">
        <v>719</v>
      </c>
      <c r="H394" s="310" t="s">
        <v>291</v>
      </c>
      <c r="I394" s="312">
        <v>45898</v>
      </c>
      <c r="J394" s="314" t="s">
        <v>288</v>
      </c>
      <c r="K394" s="318" t="s">
        <v>292</v>
      </c>
      <c r="L394" s="318" t="s">
        <v>5</v>
      </c>
      <c r="M394" s="320">
        <v>1328401</v>
      </c>
      <c r="N394" s="53">
        <v>719</v>
      </c>
      <c r="O394" s="54"/>
    </row>
    <row r="395" spans="1:15" ht="14.25" customHeight="1" thickBot="1" x14ac:dyDescent="0.3">
      <c r="A395" s="319"/>
      <c r="B395" s="361"/>
      <c r="C395" s="319"/>
      <c r="D395" s="319"/>
      <c r="E395" s="319"/>
      <c r="F395" s="321"/>
      <c r="G395" s="55">
        <v>721</v>
      </c>
      <c r="H395" s="319"/>
      <c r="I395" s="313"/>
      <c r="J395" s="315"/>
      <c r="K395" s="319"/>
      <c r="L395" s="319"/>
      <c r="M395" s="321"/>
      <c r="N395" s="55">
        <v>723</v>
      </c>
      <c r="O395" s="56">
        <f>+M394-O394</f>
        <v>1328401</v>
      </c>
    </row>
    <row r="396" spans="1:15" ht="12.75" customHeight="1" x14ac:dyDescent="0.25">
      <c r="A396" s="318" t="e">
        <f>+A394+1</f>
        <v>#REF!</v>
      </c>
      <c r="B396" s="312">
        <v>42264</v>
      </c>
      <c r="C396" s="314" t="s">
        <v>106</v>
      </c>
      <c r="D396" s="318" t="s">
        <v>290</v>
      </c>
      <c r="E396" s="318" t="s">
        <v>5</v>
      </c>
      <c r="F396" s="320">
        <v>126000</v>
      </c>
      <c r="G396" s="53">
        <v>719</v>
      </c>
      <c r="H396" s="310"/>
      <c r="I396" s="312"/>
      <c r="J396" s="314"/>
      <c r="K396" s="318"/>
      <c r="L396" s="318"/>
      <c r="M396" s="320"/>
      <c r="N396" s="53">
        <v>719</v>
      </c>
      <c r="O396" s="54"/>
    </row>
    <row r="397" spans="1:15" ht="12.75" customHeight="1" thickBot="1" x14ac:dyDescent="0.3">
      <c r="A397" s="319"/>
      <c r="B397" s="361"/>
      <c r="C397" s="315"/>
      <c r="D397" s="319"/>
      <c r="E397" s="319"/>
      <c r="F397" s="321"/>
      <c r="G397" s="55">
        <v>721</v>
      </c>
      <c r="H397" s="319"/>
      <c r="I397" s="313"/>
      <c r="J397" s="315"/>
      <c r="K397" s="319"/>
      <c r="L397" s="319"/>
      <c r="M397" s="321"/>
      <c r="N397" s="55">
        <v>721</v>
      </c>
      <c r="O397" s="56"/>
    </row>
    <row r="398" spans="1:15" ht="13.5" hidden="1" customHeight="1" x14ac:dyDescent="0.25">
      <c r="A398" s="318" t="e">
        <f>+A396+1</f>
        <v>#REF!</v>
      </c>
      <c r="B398" s="312">
        <v>42264</v>
      </c>
      <c r="C398" s="314" t="s">
        <v>231</v>
      </c>
      <c r="D398" s="318" t="s">
        <v>293</v>
      </c>
      <c r="E398" s="318" t="s">
        <v>5</v>
      </c>
      <c r="F398" s="320">
        <v>84000</v>
      </c>
      <c r="G398" s="53">
        <v>719</v>
      </c>
      <c r="H398" s="310" t="s">
        <v>294</v>
      </c>
      <c r="I398" s="312">
        <v>43935</v>
      </c>
      <c r="J398" s="314" t="s">
        <v>295</v>
      </c>
      <c r="K398" s="318" t="s">
        <v>296</v>
      </c>
      <c r="L398" s="318" t="s">
        <v>5</v>
      </c>
      <c r="M398" s="320">
        <v>870000</v>
      </c>
      <c r="N398" s="53">
        <v>719</v>
      </c>
      <c r="O398" s="54">
        <v>870000</v>
      </c>
    </row>
    <row r="399" spans="1:15" ht="13.5" hidden="1" customHeight="1" x14ac:dyDescent="0.25">
      <c r="A399" s="319"/>
      <c r="B399" s="361"/>
      <c r="C399" s="315"/>
      <c r="D399" s="319"/>
      <c r="E399" s="319"/>
      <c r="F399" s="321"/>
      <c r="G399" s="55">
        <v>721</v>
      </c>
      <c r="H399" s="319"/>
      <c r="I399" s="313"/>
      <c r="J399" s="315"/>
      <c r="K399" s="319"/>
      <c r="L399" s="319"/>
      <c r="M399" s="321"/>
      <c r="N399" s="55">
        <v>723</v>
      </c>
      <c r="O399" s="56">
        <f>+M398-O398</f>
        <v>0</v>
      </c>
    </row>
    <row r="400" spans="1:15" ht="13.5" hidden="1" customHeight="1" x14ac:dyDescent="0.25">
      <c r="A400" s="318" t="e">
        <f>+A398+1</f>
        <v>#REF!</v>
      </c>
      <c r="B400" s="312">
        <v>42264</v>
      </c>
      <c r="C400" s="314" t="s">
        <v>297</v>
      </c>
      <c r="D400" s="318" t="s">
        <v>279</v>
      </c>
      <c r="E400" s="318" t="s">
        <v>5</v>
      </c>
      <c r="F400" s="320">
        <v>532000</v>
      </c>
      <c r="G400" s="53">
        <v>719</v>
      </c>
      <c r="H400" s="310" t="s">
        <v>298</v>
      </c>
      <c r="I400" s="312">
        <v>43935</v>
      </c>
      <c r="J400" s="314" t="s">
        <v>299</v>
      </c>
      <c r="K400" s="318" t="s">
        <v>300</v>
      </c>
      <c r="L400" s="318" t="s">
        <v>5</v>
      </c>
      <c r="M400" s="320">
        <v>-1800000</v>
      </c>
      <c r="N400" s="53">
        <v>719</v>
      </c>
      <c r="O400" s="54"/>
    </row>
    <row r="401" spans="1:15" ht="14.25" hidden="1" customHeight="1" x14ac:dyDescent="0.25">
      <c r="A401" s="319"/>
      <c r="B401" s="361"/>
      <c r="C401" s="315"/>
      <c r="D401" s="319"/>
      <c r="E401" s="319"/>
      <c r="F401" s="321"/>
      <c r="G401" s="55">
        <v>721</v>
      </c>
      <c r="H401" s="319"/>
      <c r="I401" s="313"/>
      <c r="J401" s="315"/>
      <c r="K401" s="319"/>
      <c r="L401" s="319"/>
      <c r="M401" s="321"/>
      <c r="N401" s="55">
        <v>723</v>
      </c>
      <c r="O401" s="56">
        <f>+M400-O400</f>
        <v>-1800000</v>
      </c>
    </row>
    <row r="402" spans="1:15" ht="14.25" customHeight="1" thickBot="1" x14ac:dyDescent="0.3">
      <c r="A402" s="297" t="s">
        <v>80</v>
      </c>
      <c r="B402" s="298"/>
      <c r="C402" s="298"/>
      <c r="D402" s="298"/>
      <c r="E402" s="299"/>
      <c r="F402" s="62">
        <f>SUM(F388:F401)</f>
        <v>1148000</v>
      </c>
      <c r="H402" s="297" t="s">
        <v>80</v>
      </c>
      <c r="I402" s="298"/>
      <c r="J402" s="298"/>
      <c r="K402" s="298"/>
      <c r="L402" s="299"/>
      <c r="M402" s="62">
        <f>SUM(M388:M397)</f>
        <v>5433301</v>
      </c>
    </row>
    <row r="403" spans="1:15" ht="13.5" customHeight="1" thickBot="1" x14ac:dyDescent="0.3">
      <c r="A403" s="300" t="s">
        <v>81</v>
      </c>
      <c r="B403" s="301"/>
      <c r="C403" s="301"/>
      <c r="D403" s="301"/>
      <c r="E403" s="302"/>
      <c r="F403" s="63" t="e">
        <f>+F363</f>
        <v>#REF!</v>
      </c>
      <c r="H403" s="300" t="s">
        <v>81</v>
      </c>
      <c r="I403" s="301"/>
      <c r="J403" s="301"/>
      <c r="K403" s="301"/>
      <c r="L403" s="302"/>
      <c r="M403" s="106">
        <f>+M363</f>
        <v>308522532</v>
      </c>
      <c r="N403" s="64" t="s">
        <v>82</v>
      </c>
      <c r="O403" s="65"/>
    </row>
    <row r="404" spans="1:15" ht="14.25" customHeight="1" thickBot="1" x14ac:dyDescent="0.3">
      <c r="A404" s="303" t="s">
        <v>83</v>
      </c>
      <c r="B404" s="304"/>
      <c r="C404" s="304"/>
      <c r="D404" s="304"/>
      <c r="E404" s="305"/>
      <c r="F404" s="66" t="e">
        <f>SUM(F402:F403)</f>
        <v>#REF!</v>
      </c>
      <c r="H404" s="303" t="s">
        <v>83</v>
      </c>
      <c r="I404" s="304"/>
      <c r="J404" s="304"/>
      <c r="K404" s="304"/>
      <c r="L404" s="305"/>
      <c r="M404" s="66">
        <f>SUM(M402:M403)</f>
        <v>313955833</v>
      </c>
    </row>
    <row r="405" spans="1:15" ht="6.75" customHeight="1" x14ac:dyDescent="0.25">
      <c r="A405" s="67"/>
      <c r="B405" s="67"/>
      <c r="C405" s="67"/>
      <c r="D405" s="67"/>
      <c r="E405" s="67"/>
      <c r="H405" s="67"/>
      <c r="I405" s="67"/>
      <c r="J405" s="67"/>
      <c r="K405" s="67"/>
      <c r="L405" s="67"/>
    </row>
    <row r="406" spans="1:15" x14ac:dyDescent="0.25">
      <c r="A406" s="41" t="s">
        <v>301</v>
      </c>
      <c r="H406" s="41" t="s">
        <v>302</v>
      </c>
    </row>
    <row r="407" spans="1:15" ht="6" customHeight="1" x14ac:dyDescent="0.25">
      <c r="F407" s="68"/>
      <c r="M407" s="68"/>
    </row>
    <row r="408" spans="1:15" x14ac:dyDescent="0.25">
      <c r="A408" s="40" t="s">
        <v>86</v>
      </c>
      <c r="D408" s="69"/>
      <c r="F408" s="68"/>
      <c r="H408" s="40" t="s">
        <v>86</v>
      </c>
      <c r="K408" s="69"/>
      <c r="M408" s="68"/>
    </row>
    <row r="409" spans="1:15" ht="3.75" customHeight="1" thickBot="1" x14ac:dyDescent="0.3"/>
    <row r="410" spans="1:15" ht="17.25" thickBot="1" x14ac:dyDescent="0.35">
      <c r="A410" s="306" t="s">
        <v>87</v>
      </c>
      <c r="B410" s="307"/>
      <c r="C410" s="307"/>
      <c r="D410" s="308"/>
      <c r="F410" s="40" t="s">
        <v>89</v>
      </c>
      <c r="H410" s="306" t="s">
        <v>87</v>
      </c>
      <c r="I410" s="307"/>
      <c r="J410" s="307"/>
      <c r="K410" s="308"/>
      <c r="M410" s="350" t="s">
        <v>303</v>
      </c>
      <c r="N410" s="350"/>
      <c r="O410" s="350"/>
    </row>
    <row r="411" spans="1:15" ht="30.75" thickBot="1" x14ac:dyDescent="0.3">
      <c r="A411" s="70" t="s">
        <v>62</v>
      </c>
      <c r="B411" s="71" t="s">
        <v>90</v>
      </c>
      <c r="C411" s="72" t="s">
        <v>91</v>
      </c>
      <c r="D411" s="73" t="s">
        <v>92</v>
      </c>
      <c r="H411" s="70" t="s">
        <v>62</v>
      </c>
      <c r="I411" s="71" t="s">
        <v>90</v>
      </c>
      <c r="J411" s="72" t="s">
        <v>91</v>
      </c>
      <c r="K411" s="73" t="s">
        <v>92</v>
      </c>
    </row>
    <row r="412" spans="1:15" ht="12.75" customHeight="1" x14ac:dyDescent="0.25">
      <c r="A412" s="75">
        <v>719</v>
      </c>
      <c r="B412" s="76" t="e">
        <f>+#REF!+#REF!+#REF!+#REF!+#REF!</f>
        <v>#REF!</v>
      </c>
      <c r="C412" s="77" t="e">
        <f>+D371</f>
        <v>#REF!</v>
      </c>
      <c r="D412" s="78" t="e">
        <f>+B412+C412</f>
        <v>#REF!</v>
      </c>
      <c r="H412" s="75">
        <v>719</v>
      </c>
      <c r="I412" s="76">
        <f>O388</f>
        <v>390000</v>
      </c>
      <c r="J412" s="77">
        <f>+K371</f>
        <v>19890000</v>
      </c>
      <c r="K412" s="79">
        <f>+I412+J412</f>
        <v>20280000</v>
      </c>
    </row>
    <row r="413" spans="1:15" ht="13.5" customHeight="1" x14ac:dyDescent="0.25">
      <c r="A413" s="80">
        <v>721</v>
      </c>
      <c r="B413" s="81" t="e">
        <f>+#REF!+#REF!+#REF!+#REF!+#REF!</f>
        <v>#REF!</v>
      </c>
      <c r="C413" s="77" t="e">
        <f>+D372</f>
        <v>#REF!</v>
      </c>
      <c r="D413" s="78" t="e">
        <f>+B413+C413</f>
        <v>#REF!</v>
      </c>
      <c r="H413" s="80">
        <v>721</v>
      </c>
      <c r="I413" s="81">
        <f>+O397</f>
        <v>0</v>
      </c>
      <c r="J413" s="77">
        <f>+K372</f>
        <v>2443000</v>
      </c>
      <c r="K413" s="79">
        <f>+I413+J413</f>
        <v>2443000</v>
      </c>
    </row>
    <row r="414" spans="1:15" ht="13.5" customHeight="1" x14ac:dyDescent="0.25">
      <c r="A414" s="80">
        <v>722</v>
      </c>
      <c r="B414" s="81"/>
      <c r="C414" s="77" t="e">
        <f>+D373</f>
        <v>#REF!</v>
      </c>
      <c r="D414" s="78" t="e">
        <f>+B414+C414</f>
        <v>#REF!</v>
      </c>
      <c r="H414" s="80">
        <v>722</v>
      </c>
      <c r="I414" s="81"/>
      <c r="J414" s="77">
        <f>+K373</f>
        <v>0</v>
      </c>
      <c r="K414" s="79">
        <f>+I414+J414</f>
        <v>0</v>
      </c>
    </row>
    <row r="415" spans="1:15" ht="13.5" customHeight="1" thickBot="1" x14ac:dyDescent="0.3">
      <c r="A415" s="80">
        <v>723</v>
      </c>
      <c r="B415" s="81"/>
      <c r="C415" s="77" t="e">
        <f>+D374</f>
        <v>#REF!</v>
      </c>
      <c r="D415" s="78" t="e">
        <f>+B415+C415</f>
        <v>#REF!</v>
      </c>
      <c r="F415" s="109" t="s">
        <v>304</v>
      </c>
      <c r="G415" s="84"/>
      <c r="H415" s="80">
        <v>723</v>
      </c>
      <c r="I415" s="81">
        <f>O391+O393+O395</f>
        <v>5043301</v>
      </c>
      <c r="J415" s="77">
        <f>+K374</f>
        <v>286189532</v>
      </c>
      <c r="K415" s="79">
        <f>+I415+J415</f>
        <v>291232833</v>
      </c>
      <c r="M415" s="343" t="s">
        <v>255</v>
      </c>
      <c r="N415" s="275"/>
      <c r="O415" s="275"/>
    </row>
    <row r="416" spans="1:15" ht="13.5" hidden="1" customHeight="1" x14ac:dyDescent="0.25">
      <c r="A416" s="85" t="s">
        <v>94</v>
      </c>
      <c r="B416" s="86"/>
      <c r="C416" s="77">
        <f>+D375</f>
        <v>1965625</v>
      </c>
      <c r="D416" s="88">
        <f>+B416+C416</f>
        <v>1965625</v>
      </c>
      <c r="F416" s="45"/>
      <c r="H416" s="85" t="s">
        <v>94</v>
      </c>
      <c r="I416" s="86"/>
      <c r="J416" s="77">
        <f>+K375</f>
        <v>0</v>
      </c>
      <c r="K416" s="89">
        <f>+I416+J416</f>
        <v>0</v>
      </c>
      <c r="M416" s="45"/>
    </row>
    <row r="417" spans="1:15" ht="16.5" thickBot="1" x14ac:dyDescent="0.3">
      <c r="A417" s="90"/>
      <c r="B417" s="91" t="e">
        <f>SUM(B412:B416)</f>
        <v>#REF!</v>
      </c>
      <c r="C417" s="92" t="e">
        <f>SUM(C412:C416)</f>
        <v>#REF!</v>
      </c>
      <c r="D417" s="93" t="e">
        <f>SUM(D412:D416)</f>
        <v>#REF!</v>
      </c>
      <c r="H417" s="90"/>
      <c r="I417" s="94">
        <f>SUM(I412:I416)</f>
        <v>5433301</v>
      </c>
      <c r="J417" s="94">
        <f>SUM(J412:J416)</f>
        <v>308522532</v>
      </c>
      <c r="K417" s="95">
        <f>SUM(K412:K416)</f>
        <v>313955833</v>
      </c>
    </row>
    <row r="418" spans="1:15" ht="15.75" x14ac:dyDescent="0.25">
      <c r="A418" s="120"/>
      <c r="B418" s="121"/>
      <c r="C418" s="122"/>
      <c r="D418" s="123"/>
      <c r="H418" s="120"/>
      <c r="I418" s="121"/>
      <c r="J418" s="121"/>
      <c r="K418" s="123"/>
    </row>
    <row r="419" spans="1:15" ht="14.25" customHeight="1" x14ac:dyDescent="0.25">
      <c r="A419" s="39" t="s">
        <v>46</v>
      </c>
      <c r="B419" s="40"/>
      <c r="H419" s="39" t="s">
        <v>46</v>
      </c>
      <c r="I419" s="40"/>
    </row>
    <row r="420" spans="1:15" ht="12.75" customHeight="1" x14ac:dyDescent="0.25">
      <c r="A420" s="41" t="s">
        <v>47</v>
      </c>
      <c r="H420" s="41" t="s">
        <v>47</v>
      </c>
    </row>
    <row r="421" spans="1:15" ht="13.5" customHeight="1" x14ac:dyDescent="0.25">
      <c r="A421" s="41" t="s">
        <v>48</v>
      </c>
      <c r="H421" s="41" t="s">
        <v>48</v>
      </c>
    </row>
    <row r="422" spans="1:15" ht="12.75" customHeight="1" x14ac:dyDescent="0.25">
      <c r="A422" s="41" t="s">
        <v>49</v>
      </c>
      <c r="H422" s="41" t="s">
        <v>49</v>
      </c>
    </row>
    <row r="423" spans="1:15" ht="12" customHeight="1" x14ac:dyDescent="0.25">
      <c r="A423" s="40"/>
      <c r="B423" s="40"/>
      <c r="H423" s="40"/>
      <c r="I423" s="40"/>
    </row>
    <row r="424" spans="1:15" ht="13.5" customHeight="1" x14ac:dyDescent="0.25">
      <c r="A424" s="45" t="s">
        <v>305</v>
      </c>
      <c r="G424" s="45"/>
      <c r="H424" s="45" t="s">
        <v>306</v>
      </c>
      <c r="N424" s="45"/>
    </row>
    <row r="425" spans="1:15" ht="14.25" customHeight="1" x14ac:dyDescent="0.25">
      <c r="A425" s="47" t="s">
        <v>52</v>
      </c>
      <c r="G425" s="47"/>
      <c r="H425" s="47" t="s">
        <v>97</v>
      </c>
      <c r="N425" s="47"/>
    </row>
    <row r="426" spans="1:15" ht="14.25" customHeight="1" x14ac:dyDescent="0.25">
      <c r="A426" s="326" t="s">
        <v>201</v>
      </c>
      <c r="B426" s="326"/>
      <c r="C426" s="326"/>
      <c r="D426" s="326"/>
      <c r="E426" s="326"/>
      <c r="F426" s="326"/>
      <c r="G426" s="326"/>
      <c r="H426" s="326" t="s">
        <v>116</v>
      </c>
      <c r="I426" s="326"/>
      <c r="J426" s="326"/>
      <c r="K426" s="326"/>
      <c r="L426" s="326"/>
      <c r="M426" s="326"/>
      <c r="N426" s="326"/>
      <c r="O426" s="326"/>
    </row>
    <row r="427" spans="1:15" ht="3.75" customHeight="1" thickBot="1" x14ac:dyDescent="0.3"/>
    <row r="428" spans="1:15" x14ac:dyDescent="0.25">
      <c r="A428" s="327" t="s">
        <v>56</v>
      </c>
      <c r="B428" s="322" t="s">
        <v>57</v>
      </c>
      <c r="C428" s="322" t="s">
        <v>58</v>
      </c>
      <c r="D428" s="322" t="s">
        <v>7</v>
      </c>
      <c r="E428" s="322" t="s">
        <v>59</v>
      </c>
      <c r="F428" s="322" t="s">
        <v>60</v>
      </c>
      <c r="G428" s="50" t="s">
        <v>61</v>
      </c>
      <c r="H428" s="327" t="s">
        <v>56</v>
      </c>
      <c r="I428" s="322" t="s">
        <v>57</v>
      </c>
      <c r="J428" s="322" t="s">
        <v>58</v>
      </c>
      <c r="K428" s="322" t="s">
        <v>7</v>
      </c>
      <c r="L428" s="322" t="s">
        <v>59</v>
      </c>
      <c r="M428" s="322" t="s">
        <v>60</v>
      </c>
      <c r="N428" s="322" t="s">
        <v>61</v>
      </c>
      <c r="O428" s="324"/>
    </row>
    <row r="429" spans="1:15" ht="15.75" thickBot="1" x14ac:dyDescent="0.3">
      <c r="A429" s="328"/>
      <c r="B429" s="323"/>
      <c r="C429" s="323"/>
      <c r="D429" s="323"/>
      <c r="E429" s="323"/>
      <c r="F429" s="323"/>
      <c r="G429" s="51" t="s">
        <v>62</v>
      </c>
      <c r="H429" s="328"/>
      <c r="I429" s="323"/>
      <c r="J429" s="323"/>
      <c r="K429" s="323"/>
      <c r="L429" s="323"/>
      <c r="M429" s="323"/>
      <c r="N429" s="51" t="s">
        <v>62</v>
      </c>
      <c r="O429" s="52" t="s">
        <v>63</v>
      </c>
    </row>
    <row r="430" spans="1:15" ht="12.75" customHeight="1" x14ac:dyDescent="0.25">
      <c r="A430" s="318" t="e">
        <f>+A400+1</f>
        <v>#REF!</v>
      </c>
      <c r="B430" s="312">
        <v>42275</v>
      </c>
      <c r="C430" s="314" t="s">
        <v>221</v>
      </c>
      <c r="D430" s="318" t="s">
        <v>307</v>
      </c>
      <c r="E430" s="385" t="s">
        <v>64</v>
      </c>
      <c r="F430" s="320">
        <v>100000</v>
      </c>
      <c r="G430" s="53">
        <v>719</v>
      </c>
      <c r="H430" s="310" t="s">
        <v>308</v>
      </c>
      <c r="I430" s="312">
        <v>45929</v>
      </c>
      <c r="J430" s="314" t="s">
        <v>281</v>
      </c>
      <c r="K430" s="318" t="s">
        <v>289</v>
      </c>
      <c r="L430" s="318" t="s">
        <v>66</v>
      </c>
      <c r="M430" s="320">
        <v>1201500</v>
      </c>
      <c r="N430" s="53">
        <v>719</v>
      </c>
      <c r="O430" s="54">
        <v>890000</v>
      </c>
    </row>
    <row r="431" spans="1:15" ht="14.25" customHeight="1" thickBot="1" x14ac:dyDescent="0.3">
      <c r="A431" s="319"/>
      <c r="B431" s="361"/>
      <c r="C431" s="315"/>
      <c r="D431" s="319"/>
      <c r="E431" s="386"/>
      <c r="F431" s="321"/>
      <c r="G431" s="55">
        <v>721</v>
      </c>
      <c r="H431" s="319"/>
      <c r="I431" s="313"/>
      <c r="J431" s="315"/>
      <c r="K431" s="319"/>
      <c r="L431" s="319"/>
      <c r="M431" s="321"/>
      <c r="N431" s="55">
        <v>721</v>
      </c>
      <c r="O431" s="56">
        <f>+M430-O430</f>
        <v>311500</v>
      </c>
    </row>
    <row r="432" spans="1:15" ht="13.5" customHeight="1" x14ac:dyDescent="0.25">
      <c r="A432" s="318" t="e">
        <f>+A430+1</f>
        <v>#REF!</v>
      </c>
      <c r="B432" s="312">
        <v>42275</v>
      </c>
      <c r="C432" s="318" t="s">
        <v>70</v>
      </c>
      <c r="D432" s="318" t="s">
        <v>309</v>
      </c>
      <c r="E432" s="385" t="s">
        <v>70</v>
      </c>
      <c r="F432" s="320">
        <v>50000</v>
      </c>
      <c r="G432" s="53">
        <v>719</v>
      </c>
      <c r="H432" s="310" t="s">
        <v>310</v>
      </c>
      <c r="I432" s="312">
        <v>45929</v>
      </c>
      <c r="J432" s="314" t="s">
        <v>188</v>
      </c>
      <c r="K432" s="318" t="s">
        <v>289</v>
      </c>
      <c r="L432" s="318" t="s">
        <v>66</v>
      </c>
      <c r="M432" s="320">
        <v>742500</v>
      </c>
      <c r="N432" s="53">
        <v>719</v>
      </c>
      <c r="O432" s="54">
        <v>550000</v>
      </c>
    </row>
    <row r="433" spans="1:15" ht="14.25" customHeight="1" thickBot="1" x14ac:dyDescent="0.3">
      <c r="A433" s="319"/>
      <c r="B433" s="361"/>
      <c r="C433" s="319"/>
      <c r="D433" s="319"/>
      <c r="E433" s="386"/>
      <c r="F433" s="321"/>
      <c r="G433" s="55">
        <v>721</v>
      </c>
      <c r="H433" s="319"/>
      <c r="I433" s="313"/>
      <c r="J433" s="315"/>
      <c r="K433" s="319"/>
      <c r="L433" s="319"/>
      <c r="M433" s="321"/>
      <c r="N433" s="55">
        <v>721</v>
      </c>
      <c r="O433" s="56">
        <f>+M432-O432</f>
        <v>192500</v>
      </c>
    </row>
    <row r="434" spans="1:15" ht="14.25" customHeight="1" x14ac:dyDescent="0.25">
      <c r="A434" s="57"/>
      <c r="B434" s="96"/>
      <c r="C434" s="57"/>
      <c r="D434" s="57"/>
      <c r="E434" s="59"/>
      <c r="F434" s="60"/>
      <c r="G434" s="61"/>
      <c r="H434" s="310" t="s">
        <v>311</v>
      </c>
      <c r="I434" s="312">
        <v>45929</v>
      </c>
      <c r="J434" s="314" t="s">
        <v>188</v>
      </c>
      <c r="K434" s="318" t="s">
        <v>312</v>
      </c>
      <c r="L434" s="318" t="s">
        <v>66</v>
      </c>
      <c r="M434" s="320">
        <v>702000</v>
      </c>
      <c r="N434" s="53">
        <v>719</v>
      </c>
      <c r="O434" s="54">
        <v>520000</v>
      </c>
    </row>
    <row r="435" spans="1:15" ht="14.25" customHeight="1" thickBot="1" x14ac:dyDescent="0.3">
      <c r="A435" s="57"/>
      <c r="B435" s="96"/>
      <c r="C435" s="57"/>
      <c r="D435" s="57"/>
      <c r="E435" s="59"/>
      <c r="F435" s="60"/>
      <c r="G435" s="61"/>
      <c r="H435" s="319"/>
      <c r="I435" s="313"/>
      <c r="J435" s="315"/>
      <c r="K435" s="319"/>
      <c r="L435" s="319"/>
      <c r="M435" s="321"/>
      <c r="N435" s="55">
        <v>721</v>
      </c>
      <c r="O435" s="56">
        <f>+M434-O434</f>
        <v>182000</v>
      </c>
    </row>
    <row r="436" spans="1:15" ht="14.25" customHeight="1" x14ac:dyDescent="0.25">
      <c r="A436" s="318" t="e">
        <f>+A432+1</f>
        <v>#REF!</v>
      </c>
      <c r="B436" s="312">
        <v>42275</v>
      </c>
      <c r="C436" s="314" t="s">
        <v>106</v>
      </c>
      <c r="D436" s="318" t="s">
        <v>309</v>
      </c>
      <c r="E436" s="314" t="s">
        <v>106</v>
      </c>
      <c r="F436" s="320">
        <v>30000</v>
      </c>
      <c r="G436" s="53">
        <v>719</v>
      </c>
      <c r="H436" s="310" t="s">
        <v>313</v>
      </c>
      <c r="I436" s="312">
        <v>45929</v>
      </c>
      <c r="J436" s="314" t="s">
        <v>281</v>
      </c>
      <c r="K436" s="318" t="s">
        <v>314</v>
      </c>
      <c r="L436" s="318" t="s">
        <v>66</v>
      </c>
      <c r="M436" s="320">
        <v>1188000</v>
      </c>
      <c r="N436" s="53">
        <v>719</v>
      </c>
      <c r="O436" s="54">
        <v>880000</v>
      </c>
    </row>
    <row r="437" spans="1:15" ht="12.75" customHeight="1" thickBot="1" x14ac:dyDescent="0.3">
      <c r="A437" s="319"/>
      <c r="B437" s="361"/>
      <c r="C437" s="315"/>
      <c r="D437" s="319"/>
      <c r="E437" s="315"/>
      <c r="F437" s="321"/>
      <c r="G437" s="55">
        <v>721</v>
      </c>
      <c r="H437" s="319"/>
      <c r="I437" s="313"/>
      <c r="J437" s="315"/>
      <c r="K437" s="319"/>
      <c r="L437" s="319"/>
      <c r="M437" s="321"/>
      <c r="N437" s="55">
        <v>721</v>
      </c>
      <c r="O437" s="56">
        <f>+M436-O436</f>
        <v>308000</v>
      </c>
    </row>
    <row r="438" spans="1:15" ht="13.5" customHeight="1" x14ac:dyDescent="0.25">
      <c r="A438" s="318"/>
      <c r="B438" s="312"/>
      <c r="C438" s="314"/>
      <c r="D438" s="318"/>
      <c r="E438" s="318"/>
      <c r="F438" s="320"/>
      <c r="G438" s="53">
        <v>719</v>
      </c>
      <c r="H438" s="310" t="s">
        <v>315</v>
      </c>
      <c r="I438" s="312">
        <v>45929</v>
      </c>
      <c r="J438" s="314" t="s">
        <v>188</v>
      </c>
      <c r="K438" s="318" t="s">
        <v>316</v>
      </c>
      <c r="L438" s="318" t="s">
        <v>66</v>
      </c>
      <c r="M438" s="320">
        <v>702000</v>
      </c>
      <c r="N438" s="53">
        <v>719</v>
      </c>
      <c r="O438" s="54">
        <v>520000</v>
      </c>
    </row>
    <row r="439" spans="1:15" ht="13.5" customHeight="1" thickBot="1" x14ac:dyDescent="0.3">
      <c r="A439" s="319"/>
      <c r="B439" s="361"/>
      <c r="C439" s="315"/>
      <c r="D439" s="319"/>
      <c r="E439" s="319"/>
      <c r="F439" s="321"/>
      <c r="G439" s="55">
        <v>721</v>
      </c>
      <c r="H439" s="319"/>
      <c r="I439" s="313"/>
      <c r="J439" s="315"/>
      <c r="K439" s="319"/>
      <c r="L439" s="319"/>
      <c r="M439" s="321"/>
      <c r="N439" s="55">
        <v>721</v>
      </c>
      <c r="O439" s="56">
        <f>+M438-O438</f>
        <v>182000</v>
      </c>
    </row>
    <row r="440" spans="1:15" ht="13.5" customHeight="1" thickBot="1" x14ac:dyDescent="0.3">
      <c r="A440" s="297" t="s">
        <v>80</v>
      </c>
      <c r="B440" s="298"/>
      <c r="C440" s="298"/>
      <c r="D440" s="298"/>
      <c r="E440" s="299"/>
      <c r="F440" s="62">
        <f>SUM(F430:F439)</f>
        <v>180000</v>
      </c>
      <c r="H440" s="297" t="s">
        <v>80</v>
      </c>
      <c r="I440" s="298"/>
      <c r="J440" s="298"/>
      <c r="K440" s="298"/>
      <c r="L440" s="299"/>
      <c r="M440" s="62">
        <f>SUM(M430:M439)</f>
        <v>4536000</v>
      </c>
    </row>
    <row r="441" spans="1:15" ht="13.5" customHeight="1" thickBot="1" x14ac:dyDescent="0.3">
      <c r="A441" s="300" t="s">
        <v>81</v>
      </c>
      <c r="B441" s="301"/>
      <c r="C441" s="301"/>
      <c r="D441" s="301"/>
      <c r="E441" s="302"/>
      <c r="F441" s="63" t="e">
        <f>+F404</f>
        <v>#REF!</v>
      </c>
      <c r="H441" s="300" t="s">
        <v>81</v>
      </c>
      <c r="I441" s="301"/>
      <c r="J441" s="301"/>
      <c r="K441" s="301"/>
      <c r="L441" s="302"/>
      <c r="M441" s="106">
        <f>+M404</f>
        <v>313955833</v>
      </c>
      <c r="N441" s="64" t="s">
        <v>82</v>
      </c>
      <c r="O441" s="65" t="s">
        <v>275</v>
      </c>
    </row>
    <row r="442" spans="1:15" ht="14.25" customHeight="1" thickBot="1" x14ac:dyDescent="0.3">
      <c r="A442" s="303" t="s">
        <v>83</v>
      </c>
      <c r="B442" s="304"/>
      <c r="C442" s="304"/>
      <c r="D442" s="304"/>
      <c r="E442" s="305"/>
      <c r="F442" s="66" t="e">
        <f>SUM(F440:F441)</f>
        <v>#REF!</v>
      </c>
      <c r="H442" s="303" t="s">
        <v>83</v>
      </c>
      <c r="I442" s="304"/>
      <c r="J442" s="304"/>
      <c r="K442" s="304"/>
      <c r="L442" s="305"/>
      <c r="M442" s="66">
        <f>SUM(M440:M441)</f>
        <v>318491833</v>
      </c>
    </row>
    <row r="443" spans="1:15" ht="5.25" customHeight="1" x14ac:dyDescent="0.25">
      <c r="A443" s="67"/>
      <c r="B443" s="67"/>
      <c r="C443" s="67"/>
      <c r="D443" s="67"/>
      <c r="E443" s="67"/>
      <c r="H443" s="67"/>
      <c r="I443" s="67"/>
      <c r="J443" s="67"/>
      <c r="K443" s="67"/>
      <c r="L443" s="67"/>
    </row>
    <row r="444" spans="1:15" x14ac:dyDescent="0.25">
      <c r="A444" s="41" t="s">
        <v>317</v>
      </c>
      <c r="H444" s="41" t="s">
        <v>318</v>
      </c>
    </row>
    <row r="445" spans="1:15" ht="6" customHeight="1" x14ac:dyDescent="0.25">
      <c r="F445" s="68"/>
      <c r="M445" s="68"/>
    </row>
    <row r="446" spans="1:15" x14ac:dyDescent="0.25">
      <c r="A446" s="40" t="s">
        <v>86</v>
      </c>
      <c r="D446" s="69"/>
      <c r="F446" s="68"/>
      <c r="H446" s="40" t="s">
        <v>86</v>
      </c>
      <c r="K446" s="69"/>
      <c r="M446" s="68"/>
    </row>
    <row r="447" spans="1:15" ht="7.5" customHeight="1" thickBot="1" x14ac:dyDescent="0.3"/>
    <row r="448" spans="1:15" ht="17.25" thickBot="1" x14ac:dyDescent="0.3">
      <c r="A448" s="306" t="s">
        <v>87</v>
      </c>
      <c r="B448" s="307"/>
      <c r="C448" s="307"/>
      <c r="D448" s="308"/>
      <c r="F448" s="40" t="s">
        <v>89</v>
      </c>
      <c r="H448" s="306" t="s">
        <v>87</v>
      </c>
      <c r="I448" s="307"/>
      <c r="J448" s="307"/>
      <c r="K448" s="308"/>
      <c r="M448" s="357" t="s">
        <v>89</v>
      </c>
      <c r="N448" s="357"/>
      <c r="O448" s="357"/>
    </row>
    <row r="449" spans="1:15" ht="30.75" thickBot="1" x14ac:dyDescent="0.3">
      <c r="A449" s="70" t="s">
        <v>62</v>
      </c>
      <c r="B449" s="71" t="s">
        <v>90</v>
      </c>
      <c r="C449" s="72" t="s">
        <v>91</v>
      </c>
      <c r="D449" s="73" t="s">
        <v>92</v>
      </c>
      <c r="H449" s="70" t="s">
        <v>62</v>
      </c>
      <c r="I449" s="71" t="s">
        <v>90</v>
      </c>
      <c r="J449" s="72" t="s">
        <v>91</v>
      </c>
      <c r="K449" s="73" t="s">
        <v>92</v>
      </c>
      <c r="M449" s="124"/>
      <c r="N449" s="124"/>
      <c r="O449" s="124"/>
    </row>
    <row r="450" spans="1:15" ht="15" customHeight="1" x14ac:dyDescent="0.25">
      <c r="A450" s="75">
        <v>719</v>
      </c>
      <c r="B450" s="76" t="e">
        <f>+#REF!+#REF!+#REF!+#REF!+#REF!</f>
        <v>#REF!</v>
      </c>
      <c r="C450" s="77" t="e">
        <f>+D412</f>
        <v>#REF!</v>
      </c>
      <c r="D450" s="78" t="e">
        <f>+B450+C450</f>
        <v>#REF!</v>
      </c>
      <c r="H450" s="75">
        <v>719</v>
      </c>
      <c r="I450" s="76">
        <f>+O430+O432+O434+O436+O438</f>
        <v>3360000</v>
      </c>
      <c r="J450" s="77">
        <f>+K412</f>
        <v>20280000</v>
      </c>
      <c r="K450" s="79">
        <f>+I450+J450</f>
        <v>23640000</v>
      </c>
      <c r="M450" s="124"/>
      <c r="N450" s="124"/>
      <c r="O450" s="124"/>
    </row>
    <row r="451" spans="1:15" ht="13.5" customHeight="1" x14ac:dyDescent="0.25">
      <c r="A451" s="80">
        <v>721</v>
      </c>
      <c r="B451" s="81" t="e">
        <f>+#REF!+#REF!+#REF!+#REF!+#REF!</f>
        <v>#REF!</v>
      </c>
      <c r="C451" s="77" t="e">
        <f>+D413</f>
        <v>#REF!</v>
      </c>
      <c r="D451" s="78" t="e">
        <f>+B451+C451</f>
        <v>#REF!</v>
      </c>
      <c r="H451" s="80">
        <v>721</v>
      </c>
      <c r="I451" s="81">
        <f>+O431+O433+O435+O437+O439</f>
        <v>1176000</v>
      </c>
      <c r="J451" s="77">
        <f>+K413</f>
        <v>2443000</v>
      </c>
      <c r="K451" s="79">
        <f>+I451+J451</f>
        <v>3619000</v>
      </c>
      <c r="M451" s="124"/>
      <c r="N451" s="124"/>
      <c r="O451" s="124"/>
    </row>
    <row r="452" spans="1:15" ht="12.75" customHeight="1" x14ac:dyDescent="0.25">
      <c r="A452" s="80">
        <v>722</v>
      </c>
      <c r="B452" s="81"/>
      <c r="C452" s="77" t="e">
        <f>+D414</f>
        <v>#REF!</v>
      </c>
      <c r="D452" s="78" t="e">
        <f>+B452+C452</f>
        <v>#REF!</v>
      </c>
      <c r="H452" s="80">
        <v>722</v>
      </c>
      <c r="I452" s="81"/>
      <c r="J452" s="77">
        <f>+K414</f>
        <v>0</v>
      </c>
      <c r="K452" s="79">
        <f>+I452+J452</f>
        <v>0</v>
      </c>
      <c r="M452" s="124"/>
      <c r="N452" s="124"/>
      <c r="O452" s="124"/>
    </row>
    <row r="453" spans="1:15" ht="14.25" customHeight="1" thickBot="1" x14ac:dyDescent="0.3">
      <c r="A453" s="80">
        <v>723</v>
      </c>
      <c r="B453" s="81"/>
      <c r="C453" s="77" t="e">
        <f>+D415</f>
        <v>#REF!</v>
      </c>
      <c r="D453" s="78" t="e">
        <f>+B453+C453</f>
        <v>#REF!</v>
      </c>
      <c r="F453" s="109" t="s">
        <v>304</v>
      </c>
      <c r="G453" s="84"/>
      <c r="H453" s="80">
        <v>723</v>
      </c>
      <c r="I453" s="81"/>
      <c r="J453" s="77">
        <f>+K415</f>
        <v>291232833</v>
      </c>
      <c r="K453" s="79">
        <f>+I453+J453</f>
        <v>291232833</v>
      </c>
      <c r="M453" s="343" t="s">
        <v>255</v>
      </c>
      <c r="N453" s="275"/>
      <c r="O453" s="275"/>
    </row>
    <row r="454" spans="1:15" ht="15.75" hidden="1" customHeight="1" x14ac:dyDescent="0.25">
      <c r="A454" s="85" t="s">
        <v>94</v>
      </c>
      <c r="B454" s="86"/>
      <c r="C454" s="77">
        <f>+D416</f>
        <v>1965625</v>
      </c>
      <c r="D454" s="88">
        <f>+B454+C454</f>
        <v>1965625</v>
      </c>
      <c r="F454" s="45"/>
      <c r="H454" s="85" t="s">
        <v>94</v>
      </c>
      <c r="I454" s="86"/>
      <c r="J454" s="77">
        <f>+K416</f>
        <v>0</v>
      </c>
      <c r="K454" s="89">
        <f>+I454+J454</f>
        <v>0</v>
      </c>
      <c r="M454" s="45"/>
    </row>
    <row r="455" spans="1:15" ht="15" customHeight="1" thickBot="1" x14ac:dyDescent="0.3">
      <c r="A455" s="90"/>
      <c r="B455" s="91" t="e">
        <f>SUM(B450:B454)</f>
        <v>#REF!</v>
      </c>
      <c r="C455" s="92" t="e">
        <f>SUM(C450:C454)</f>
        <v>#REF!</v>
      </c>
      <c r="D455" s="93" t="e">
        <f>SUM(D450:D454)</f>
        <v>#REF!</v>
      </c>
      <c r="H455" s="90"/>
      <c r="I455" s="94">
        <f>SUM(I450:I454)</f>
        <v>4536000</v>
      </c>
      <c r="J455" s="94">
        <f>SUM(J450:J454)</f>
        <v>313955833</v>
      </c>
      <c r="K455" s="95">
        <f>SUM(K450:K454)</f>
        <v>318491833</v>
      </c>
    </row>
    <row r="456" spans="1:15" ht="15" customHeight="1" x14ac:dyDescent="0.25">
      <c r="A456" s="120"/>
      <c r="B456" s="121"/>
      <c r="C456" s="122"/>
      <c r="D456" s="123"/>
      <c r="H456" s="120"/>
      <c r="I456" s="121"/>
      <c r="J456" s="121"/>
      <c r="K456" s="123"/>
    </row>
    <row r="457" spans="1:15" ht="13.5" customHeight="1" x14ac:dyDescent="0.25">
      <c r="A457" s="39" t="s">
        <v>46</v>
      </c>
      <c r="B457" s="40"/>
      <c r="H457" s="39" t="s">
        <v>46</v>
      </c>
      <c r="I457" s="40"/>
    </row>
    <row r="458" spans="1:15" ht="12.75" customHeight="1" x14ac:dyDescent="0.25">
      <c r="A458" s="41" t="s">
        <v>47</v>
      </c>
      <c r="H458" s="41" t="s">
        <v>47</v>
      </c>
    </row>
    <row r="459" spans="1:15" ht="13.5" customHeight="1" x14ac:dyDescent="0.25">
      <c r="A459" s="41" t="s">
        <v>48</v>
      </c>
      <c r="H459" s="41" t="s">
        <v>48</v>
      </c>
    </row>
    <row r="460" spans="1:15" ht="12.75" customHeight="1" x14ac:dyDescent="0.25">
      <c r="A460" s="41" t="s">
        <v>49</v>
      </c>
      <c r="H460" s="41" t="s">
        <v>49</v>
      </c>
    </row>
    <row r="461" spans="1:15" ht="3.75" customHeight="1" x14ac:dyDescent="0.25">
      <c r="A461" s="40"/>
      <c r="B461" s="40"/>
      <c r="H461" s="40"/>
      <c r="I461" s="40"/>
    </row>
    <row r="462" spans="1:15" ht="12.75" customHeight="1" x14ac:dyDescent="0.25">
      <c r="A462" s="45" t="s">
        <v>319</v>
      </c>
      <c r="G462" s="45"/>
      <c r="H462" s="45" t="s">
        <v>320</v>
      </c>
      <c r="N462" s="45"/>
    </row>
    <row r="463" spans="1:15" ht="15.75" x14ac:dyDescent="0.25">
      <c r="A463" s="47" t="s">
        <v>52</v>
      </c>
      <c r="G463" s="47"/>
      <c r="H463" s="47" t="s">
        <v>97</v>
      </c>
      <c r="N463" s="47"/>
    </row>
    <row r="464" spans="1:15" ht="13.5" customHeight="1" x14ac:dyDescent="0.25">
      <c r="A464" s="326" t="s">
        <v>201</v>
      </c>
      <c r="B464" s="326"/>
      <c r="C464" s="326"/>
      <c r="D464" s="326"/>
      <c r="E464" s="326"/>
      <c r="F464" s="326"/>
      <c r="G464" s="326"/>
      <c r="H464" s="326" t="s">
        <v>321</v>
      </c>
      <c r="I464" s="326"/>
      <c r="J464" s="326"/>
      <c r="K464" s="326"/>
      <c r="L464" s="326"/>
      <c r="M464" s="326"/>
      <c r="N464" s="326"/>
      <c r="O464" s="326"/>
    </row>
    <row r="465" spans="1:15" ht="9" customHeight="1" thickBot="1" x14ac:dyDescent="0.3"/>
    <row r="466" spans="1:15" x14ac:dyDescent="0.25">
      <c r="A466" s="327" t="s">
        <v>56</v>
      </c>
      <c r="B466" s="322" t="s">
        <v>57</v>
      </c>
      <c r="C466" s="322" t="s">
        <v>58</v>
      </c>
      <c r="D466" s="322" t="s">
        <v>7</v>
      </c>
      <c r="E466" s="322" t="s">
        <v>59</v>
      </c>
      <c r="F466" s="322" t="s">
        <v>60</v>
      </c>
      <c r="G466" s="50" t="s">
        <v>61</v>
      </c>
      <c r="H466" s="327" t="s">
        <v>56</v>
      </c>
      <c r="I466" s="322" t="s">
        <v>57</v>
      </c>
      <c r="J466" s="322" t="s">
        <v>58</v>
      </c>
      <c r="K466" s="322" t="s">
        <v>7</v>
      </c>
      <c r="L466" s="322" t="s">
        <v>59</v>
      </c>
      <c r="M466" s="322" t="s">
        <v>60</v>
      </c>
      <c r="N466" s="322" t="s">
        <v>61</v>
      </c>
      <c r="O466" s="324"/>
    </row>
    <row r="467" spans="1:15" ht="15.75" thickBot="1" x14ac:dyDescent="0.3">
      <c r="A467" s="328"/>
      <c r="B467" s="323"/>
      <c r="C467" s="323"/>
      <c r="D467" s="323"/>
      <c r="E467" s="323"/>
      <c r="F467" s="323"/>
      <c r="G467" s="51" t="s">
        <v>62</v>
      </c>
      <c r="H467" s="328"/>
      <c r="I467" s="323"/>
      <c r="J467" s="323"/>
      <c r="K467" s="323"/>
      <c r="L467" s="323"/>
      <c r="M467" s="323"/>
      <c r="N467" s="51" t="s">
        <v>62</v>
      </c>
      <c r="O467" s="52" t="s">
        <v>63</v>
      </c>
    </row>
    <row r="468" spans="1:15" ht="14.25" customHeight="1" x14ac:dyDescent="0.25">
      <c r="A468" s="318" t="e">
        <f>+A436+1</f>
        <v>#REF!</v>
      </c>
      <c r="B468" s="312">
        <v>42278</v>
      </c>
      <c r="C468" s="314" t="s">
        <v>221</v>
      </c>
      <c r="D468" s="318" t="s">
        <v>322</v>
      </c>
      <c r="E468" s="318" t="s">
        <v>5</v>
      </c>
      <c r="F468" s="320">
        <v>196000</v>
      </c>
      <c r="G468" s="53">
        <v>719</v>
      </c>
      <c r="H468" s="310" t="s">
        <v>323</v>
      </c>
      <c r="I468" s="312">
        <v>45929</v>
      </c>
      <c r="J468" s="314" t="s">
        <v>281</v>
      </c>
      <c r="K468" s="318" t="s">
        <v>324</v>
      </c>
      <c r="L468" s="318" t="s">
        <v>325</v>
      </c>
      <c r="M468" s="320">
        <v>1296000</v>
      </c>
      <c r="N468" s="53">
        <v>719</v>
      </c>
      <c r="O468" s="54">
        <v>960000</v>
      </c>
    </row>
    <row r="469" spans="1:15" ht="13.5" customHeight="1" thickBot="1" x14ac:dyDescent="0.3">
      <c r="A469" s="319"/>
      <c r="B469" s="361"/>
      <c r="C469" s="315"/>
      <c r="D469" s="319"/>
      <c r="E469" s="319"/>
      <c r="F469" s="321"/>
      <c r="G469" s="55">
        <v>721</v>
      </c>
      <c r="H469" s="319"/>
      <c r="I469" s="313"/>
      <c r="J469" s="315"/>
      <c r="K469" s="319"/>
      <c r="L469" s="319"/>
      <c r="M469" s="321"/>
      <c r="N469" s="55">
        <v>721</v>
      </c>
      <c r="O469" s="56">
        <v>336000</v>
      </c>
    </row>
    <row r="470" spans="1:15" ht="12.75" customHeight="1" x14ac:dyDescent="0.25">
      <c r="A470" s="318" t="e">
        <f>+A468+1</f>
        <v>#REF!</v>
      </c>
      <c r="B470" s="312">
        <v>42278</v>
      </c>
      <c r="C470" s="318" t="s">
        <v>70</v>
      </c>
      <c r="D470" s="318" t="s">
        <v>326</v>
      </c>
      <c r="E470" s="318" t="s">
        <v>5</v>
      </c>
      <c r="F470" s="320">
        <v>224000</v>
      </c>
      <c r="G470" s="53">
        <v>719</v>
      </c>
      <c r="H470" s="310" t="s">
        <v>327</v>
      </c>
      <c r="I470" s="312">
        <v>45929</v>
      </c>
      <c r="J470" s="314" t="s">
        <v>281</v>
      </c>
      <c r="K470" s="318" t="s">
        <v>324</v>
      </c>
      <c r="L470" s="318" t="s">
        <v>283</v>
      </c>
      <c r="M470" s="320">
        <v>460000</v>
      </c>
      <c r="N470" s="53">
        <v>719</v>
      </c>
      <c r="O470" s="54">
        <f>M470</f>
        <v>460000</v>
      </c>
    </row>
    <row r="471" spans="1:15" ht="13.5" customHeight="1" thickBot="1" x14ac:dyDescent="0.3">
      <c r="A471" s="319"/>
      <c r="B471" s="361"/>
      <c r="C471" s="319"/>
      <c r="D471" s="319"/>
      <c r="E471" s="319"/>
      <c r="F471" s="321"/>
      <c r="G471" s="55">
        <v>721</v>
      </c>
      <c r="H471" s="319"/>
      <c r="I471" s="313"/>
      <c r="J471" s="315"/>
      <c r="K471" s="319"/>
      <c r="L471" s="319"/>
      <c r="M471" s="321"/>
      <c r="N471" s="55">
        <v>721</v>
      </c>
      <c r="O471" s="56"/>
    </row>
    <row r="472" spans="1:15" ht="13.5" customHeight="1" x14ac:dyDescent="0.25">
      <c r="A472" s="57"/>
      <c r="B472" s="96"/>
      <c r="C472" s="57"/>
      <c r="D472" s="57"/>
      <c r="E472" s="57"/>
      <c r="F472" s="60"/>
      <c r="G472" s="61"/>
      <c r="H472" s="310" t="s">
        <v>328</v>
      </c>
      <c r="I472" s="312">
        <v>45929</v>
      </c>
      <c r="J472" s="314" t="s">
        <v>329</v>
      </c>
      <c r="K472" s="318" t="s">
        <v>330</v>
      </c>
      <c r="L472" s="318" t="s">
        <v>325</v>
      </c>
      <c r="M472" s="320">
        <v>340000</v>
      </c>
      <c r="N472" s="53">
        <v>727</v>
      </c>
      <c r="O472" s="54"/>
    </row>
    <row r="473" spans="1:15" ht="13.5" customHeight="1" thickBot="1" x14ac:dyDescent="0.3">
      <c r="A473" s="57"/>
      <c r="B473" s="96"/>
      <c r="C473" s="57"/>
      <c r="D473" s="57"/>
      <c r="E473" s="57"/>
      <c r="F473" s="60"/>
      <c r="G473" s="61"/>
      <c r="H473" s="319"/>
      <c r="I473" s="313"/>
      <c r="J473" s="315"/>
      <c r="K473" s="319"/>
      <c r="L473" s="319"/>
      <c r="M473" s="321"/>
      <c r="N473" s="55">
        <v>723</v>
      </c>
      <c r="O473" s="56">
        <f>+M472-O472</f>
        <v>340000</v>
      </c>
    </row>
    <row r="474" spans="1:15" ht="13.5" customHeight="1" x14ac:dyDescent="0.25">
      <c r="A474" s="318" t="e">
        <f>+A470+1</f>
        <v>#REF!</v>
      </c>
      <c r="B474" s="312">
        <v>42278</v>
      </c>
      <c r="C474" s="314" t="s">
        <v>106</v>
      </c>
      <c r="D474" s="318" t="s">
        <v>326</v>
      </c>
      <c r="E474" s="318" t="s">
        <v>5</v>
      </c>
      <c r="F474" s="320">
        <v>112000</v>
      </c>
      <c r="G474" s="53">
        <v>719</v>
      </c>
      <c r="H474" s="310" t="s">
        <v>331</v>
      </c>
      <c r="I474" s="312">
        <v>45929</v>
      </c>
      <c r="J474" s="314" t="s">
        <v>329</v>
      </c>
      <c r="K474" s="318" t="s">
        <v>330</v>
      </c>
      <c r="L474" s="318" t="s">
        <v>5</v>
      </c>
      <c r="M474" s="320">
        <v>1575328</v>
      </c>
      <c r="N474" s="53">
        <v>719</v>
      </c>
      <c r="O474" s="54">
        <v>0</v>
      </c>
    </row>
    <row r="475" spans="1:15" ht="13.5" customHeight="1" thickBot="1" x14ac:dyDescent="0.3">
      <c r="A475" s="319"/>
      <c r="B475" s="361"/>
      <c r="C475" s="315"/>
      <c r="D475" s="319"/>
      <c r="E475" s="319"/>
      <c r="F475" s="321"/>
      <c r="G475" s="55">
        <v>721</v>
      </c>
      <c r="H475" s="319"/>
      <c r="I475" s="313"/>
      <c r="J475" s="315"/>
      <c r="K475" s="319"/>
      <c r="L475" s="319"/>
      <c r="M475" s="321"/>
      <c r="N475" s="55">
        <v>723</v>
      </c>
      <c r="O475" s="56">
        <f>+M474-O474</f>
        <v>1575328</v>
      </c>
    </row>
    <row r="476" spans="1:15" ht="12.75" customHeight="1" x14ac:dyDescent="0.25">
      <c r="A476" s="318" t="e">
        <f>+A474+1</f>
        <v>#REF!</v>
      </c>
      <c r="B476" s="312">
        <v>42278</v>
      </c>
      <c r="C476" s="314" t="s">
        <v>231</v>
      </c>
      <c r="D476" s="318" t="s">
        <v>332</v>
      </c>
      <c r="E476" s="318" t="s">
        <v>5</v>
      </c>
      <c r="F476" s="320">
        <v>84000</v>
      </c>
      <c r="G476" s="53">
        <v>719</v>
      </c>
      <c r="H476" s="310" t="s">
        <v>333</v>
      </c>
      <c r="I476" s="312">
        <v>45929</v>
      </c>
      <c r="J476" s="314" t="s">
        <v>334</v>
      </c>
      <c r="K476" s="318" t="s">
        <v>335</v>
      </c>
      <c r="L476" s="318" t="s">
        <v>5</v>
      </c>
      <c r="M476" s="320">
        <v>-1125000</v>
      </c>
      <c r="N476" s="53">
        <v>710</v>
      </c>
      <c r="O476" s="54"/>
    </row>
    <row r="477" spans="1:15" ht="14.25" customHeight="1" thickBot="1" x14ac:dyDescent="0.3">
      <c r="A477" s="319"/>
      <c r="B477" s="361"/>
      <c r="C477" s="315"/>
      <c r="D477" s="319"/>
      <c r="E477" s="319"/>
      <c r="F477" s="321"/>
      <c r="G477" s="55">
        <v>721</v>
      </c>
      <c r="H477" s="319"/>
      <c r="I477" s="313"/>
      <c r="J477" s="315"/>
      <c r="K477" s="319"/>
      <c r="L477" s="319"/>
      <c r="M477" s="321"/>
      <c r="N477" s="55">
        <v>723</v>
      </c>
      <c r="O477" s="56">
        <f>+M476-O476</f>
        <v>-1125000</v>
      </c>
    </row>
    <row r="478" spans="1:15" ht="16.5" thickBot="1" x14ac:dyDescent="0.3">
      <c r="A478" s="297" t="s">
        <v>80</v>
      </c>
      <c r="B478" s="298"/>
      <c r="C478" s="298"/>
      <c r="D478" s="298"/>
      <c r="E478" s="299"/>
      <c r="F478" s="62">
        <f>SUM(F468:F477)</f>
        <v>616000</v>
      </c>
      <c r="H478" s="297" t="s">
        <v>80</v>
      </c>
      <c r="I478" s="298"/>
      <c r="J478" s="298"/>
      <c r="K478" s="298"/>
      <c r="L478" s="299"/>
      <c r="M478" s="62">
        <f>SUM(M468:M477)</f>
        <v>2546328</v>
      </c>
    </row>
    <row r="479" spans="1:15" ht="16.5" thickBot="1" x14ac:dyDescent="0.3">
      <c r="A479" s="300" t="s">
        <v>81</v>
      </c>
      <c r="B479" s="301"/>
      <c r="C479" s="301"/>
      <c r="D479" s="301"/>
      <c r="E479" s="302"/>
      <c r="F479" s="63" t="e">
        <f>+F442</f>
        <v>#REF!</v>
      </c>
      <c r="H479" s="300" t="s">
        <v>81</v>
      </c>
      <c r="I479" s="301"/>
      <c r="J479" s="301"/>
      <c r="K479" s="301"/>
      <c r="L479" s="302"/>
      <c r="M479" s="106">
        <f>+M442</f>
        <v>318491833</v>
      </c>
      <c r="N479" s="64" t="s">
        <v>82</v>
      </c>
      <c r="O479" s="65"/>
    </row>
    <row r="480" spans="1:15" ht="16.5" thickBot="1" x14ac:dyDescent="0.3">
      <c r="A480" s="303" t="s">
        <v>83</v>
      </c>
      <c r="B480" s="304"/>
      <c r="C480" s="304"/>
      <c r="D480" s="304"/>
      <c r="E480" s="305"/>
      <c r="F480" s="66" t="e">
        <f>SUM(F478:F479)</f>
        <v>#REF!</v>
      </c>
      <c r="H480" s="303" t="s">
        <v>83</v>
      </c>
      <c r="I480" s="304"/>
      <c r="J480" s="304"/>
      <c r="K480" s="304"/>
      <c r="L480" s="305"/>
      <c r="M480" s="66">
        <f>SUM(M478:M479)</f>
        <v>321038161</v>
      </c>
    </row>
    <row r="481" spans="1:15" ht="9" customHeight="1" x14ac:dyDescent="0.25">
      <c r="A481" s="67"/>
      <c r="B481" s="67"/>
      <c r="C481" s="67"/>
      <c r="D481" s="67"/>
      <c r="E481" s="67"/>
      <c r="H481" s="67"/>
      <c r="I481" s="67"/>
      <c r="J481" s="67"/>
      <c r="K481" s="67"/>
      <c r="L481" s="67"/>
    </row>
    <row r="482" spans="1:15" x14ac:dyDescent="0.25">
      <c r="A482" s="41" t="s">
        <v>336</v>
      </c>
      <c r="H482" s="41" t="s">
        <v>337</v>
      </c>
    </row>
    <row r="483" spans="1:15" ht="7.5" customHeight="1" x14ac:dyDescent="0.25">
      <c r="F483" s="68"/>
      <c r="M483" s="68"/>
    </row>
    <row r="484" spans="1:15" x14ac:dyDescent="0.25">
      <c r="A484" s="40" t="s">
        <v>86</v>
      </c>
      <c r="D484" s="69"/>
      <c r="F484" s="68"/>
      <c r="H484" s="40" t="s">
        <v>86</v>
      </c>
      <c r="K484" s="69"/>
      <c r="M484" s="68"/>
    </row>
    <row r="485" spans="1:15" ht="11.25" customHeight="1" thickBot="1" x14ac:dyDescent="0.3"/>
    <row r="486" spans="1:15" ht="17.25" thickBot="1" x14ac:dyDescent="0.3">
      <c r="A486" s="306" t="s">
        <v>87</v>
      </c>
      <c r="B486" s="307"/>
      <c r="C486" s="307"/>
      <c r="D486" s="308"/>
      <c r="F486" s="40" t="s">
        <v>89</v>
      </c>
      <c r="H486" s="306" t="s">
        <v>87</v>
      </c>
      <c r="I486" s="307"/>
      <c r="J486" s="307"/>
      <c r="K486" s="308"/>
      <c r="M486" s="357" t="s">
        <v>89</v>
      </c>
      <c r="N486" s="357"/>
      <c r="O486" s="357"/>
    </row>
    <row r="487" spans="1:15" ht="28.5" customHeight="1" thickBot="1" x14ac:dyDescent="0.3">
      <c r="A487" s="70" t="s">
        <v>62</v>
      </c>
      <c r="B487" s="71" t="s">
        <v>90</v>
      </c>
      <c r="C487" s="72" t="s">
        <v>91</v>
      </c>
      <c r="D487" s="73" t="s">
        <v>92</v>
      </c>
      <c r="H487" s="70" t="s">
        <v>62</v>
      </c>
      <c r="I487" s="71" t="s">
        <v>90</v>
      </c>
      <c r="J487" s="72" t="s">
        <v>91</v>
      </c>
      <c r="K487" s="73" t="s">
        <v>92</v>
      </c>
      <c r="M487" s="124"/>
      <c r="N487" s="124"/>
      <c r="O487" s="124"/>
    </row>
    <row r="488" spans="1:15" ht="15" customHeight="1" x14ac:dyDescent="0.25">
      <c r="A488" s="75">
        <v>719</v>
      </c>
      <c r="B488" s="76" t="e">
        <f>+#REF!+#REF!+#REF!+#REF!+#REF!</f>
        <v>#REF!</v>
      </c>
      <c r="C488" s="77" t="e">
        <f>+D450</f>
        <v>#REF!</v>
      </c>
      <c r="D488" s="79" t="e">
        <f>+B488+C488</f>
        <v>#REF!</v>
      </c>
      <c r="H488" s="75">
        <v>719</v>
      </c>
      <c r="I488" s="76">
        <f>+O468+O470</f>
        <v>1420000</v>
      </c>
      <c r="J488" s="77">
        <f>+K450</f>
        <v>23640000</v>
      </c>
      <c r="K488" s="79">
        <f>+I488+J488</f>
        <v>25060000</v>
      </c>
      <c r="M488" s="124"/>
      <c r="N488" s="124"/>
      <c r="O488" s="124"/>
    </row>
    <row r="489" spans="1:15" ht="13.5" customHeight="1" x14ac:dyDescent="0.25">
      <c r="A489" s="80">
        <v>721</v>
      </c>
      <c r="B489" s="81" t="e">
        <f>+#REF!+#REF!+#REF!+#REF!+#REF!</f>
        <v>#REF!</v>
      </c>
      <c r="C489" s="77" t="e">
        <f>+D451</f>
        <v>#REF!</v>
      </c>
      <c r="D489" s="79" t="e">
        <f>+B489+C489</f>
        <v>#REF!</v>
      </c>
      <c r="H489" s="80">
        <v>721</v>
      </c>
      <c r="I489" s="81"/>
      <c r="J489" s="77">
        <f>+K451</f>
        <v>3619000</v>
      </c>
      <c r="K489" s="79">
        <f>+I489+J489</f>
        <v>3619000</v>
      </c>
      <c r="M489" s="124"/>
      <c r="N489" s="124"/>
      <c r="O489" s="124"/>
    </row>
    <row r="490" spans="1:15" ht="15" customHeight="1" x14ac:dyDescent="0.25">
      <c r="A490" s="80">
        <v>722</v>
      </c>
      <c r="B490" s="81"/>
      <c r="C490" s="77" t="e">
        <f>+D452</f>
        <v>#REF!</v>
      </c>
      <c r="D490" s="79" t="e">
        <f>+B490+C490</f>
        <v>#REF!</v>
      </c>
      <c r="H490" s="80">
        <v>722</v>
      </c>
      <c r="I490" s="81"/>
      <c r="J490" s="77">
        <f>+K452</f>
        <v>0</v>
      </c>
      <c r="K490" s="79">
        <f>+I490+J490</f>
        <v>0</v>
      </c>
      <c r="M490" s="124"/>
      <c r="N490" s="124"/>
      <c r="O490" s="124"/>
    </row>
    <row r="491" spans="1:15" ht="14.25" customHeight="1" thickBot="1" x14ac:dyDescent="0.3">
      <c r="A491" s="80">
        <v>723</v>
      </c>
      <c r="B491" s="81"/>
      <c r="C491" s="77" t="e">
        <f>+D453</f>
        <v>#REF!</v>
      </c>
      <c r="D491" s="79" t="e">
        <f>+B491+C491</f>
        <v>#REF!</v>
      </c>
      <c r="F491" s="109" t="s">
        <v>304</v>
      </c>
      <c r="G491" s="84"/>
      <c r="H491" s="80">
        <v>723</v>
      </c>
      <c r="I491" s="81">
        <f>+O469+O471+O473+O475+O477</f>
        <v>1126328</v>
      </c>
      <c r="J491" s="77">
        <f>+K453</f>
        <v>291232833</v>
      </c>
      <c r="K491" s="79">
        <f>+I491+J491</f>
        <v>292359161</v>
      </c>
      <c r="M491" s="343" t="s">
        <v>255</v>
      </c>
      <c r="N491" s="275"/>
      <c r="O491" s="275"/>
    </row>
    <row r="492" spans="1:15" ht="15" hidden="1" customHeight="1" x14ac:dyDescent="0.25">
      <c r="A492" s="85" t="s">
        <v>94</v>
      </c>
      <c r="B492" s="86"/>
      <c r="C492" s="77">
        <f>+D454</f>
        <v>1965625</v>
      </c>
      <c r="D492" s="89">
        <f>+B492+C492</f>
        <v>1965625</v>
      </c>
      <c r="F492" s="45"/>
      <c r="H492" s="85" t="s">
        <v>94</v>
      </c>
      <c r="I492" s="86"/>
      <c r="J492" s="77">
        <f>+K454</f>
        <v>0</v>
      </c>
      <c r="K492" s="89">
        <f>+I492+J492</f>
        <v>0</v>
      </c>
      <c r="M492" s="45"/>
    </row>
    <row r="493" spans="1:15" ht="15" customHeight="1" thickBot="1" x14ac:dyDescent="0.3">
      <c r="A493" s="90"/>
      <c r="B493" s="91" t="e">
        <f>SUM(B488:B492)</f>
        <v>#REF!</v>
      </c>
      <c r="C493" s="92" t="e">
        <f>SUM(C488:C492)</f>
        <v>#REF!</v>
      </c>
      <c r="D493" s="93" t="e">
        <f>SUM(D488:D492)</f>
        <v>#REF!</v>
      </c>
      <c r="H493" s="90"/>
      <c r="I493" s="94">
        <f>SUM(I488:I492)</f>
        <v>2546328</v>
      </c>
      <c r="J493" s="94">
        <f>SUM(J488:J492)</f>
        <v>318491833</v>
      </c>
      <c r="K493" s="95">
        <f>SUM(K488:K492)</f>
        <v>321038161</v>
      </c>
    </row>
    <row r="494" spans="1:15" ht="16.5" x14ac:dyDescent="0.25">
      <c r="A494" s="39" t="s">
        <v>46</v>
      </c>
      <c r="B494" s="40"/>
      <c r="H494" s="39" t="s">
        <v>46</v>
      </c>
      <c r="I494" s="40"/>
    </row>
    <row r="495" spans="1:15" ht="13.5" customHeight="1" x14ac:dyDescent="0.25">
      <c r="A495" s="41" t="s">
        <v>47</v>
      </c>
      <c r="H495" s="41" t="s">
        <v>47</v>
      </c>
    </row>
    <row r="496" spans="1:15" x14ac:dyDescent="0.25">
      <c r="A496" s="41" t="s">
        <v>48</v>
      </c>
      <c r="H496" s="41" t="s">
        <v>48</v>
      </c>
    </row>
    <row r="497" spans="1:15" x14ac:dyDescent="0.25">
      <c r="A497" s="41" t="s">
        <v>49</v>
      </c>
      <c r="H497" s="41" t="s">
        <v>49</v>
      </c>
    </row>
    <row r="498" spans="1:15" ht="5.25" customHeight="1" x14ac:dyDescent="0.25">
      <c r="A498" s="40"/>
      <c r="B498" s="40"/>
      <c r="H498" s="40"/>
      <c r="I498" s="40"/>
    </row>
    <row r="499" spans="1:15" ht="13.5" customHeight="1" x14ac:dyDescent="0.25">
      <c r="A499" s="45" t="s">
        <v>338</v>
      </c>
      <c r="G499" s="45"/>
      <c r="H499" s="45" t="s">
        <v>339</v>
      </c>
      <c r="N499" s="45"/>
    </row>
    <row r="500" spans="1:15" ht="15.75" x14ac:dyDescent="0.25">
      <c r="A500" s="47" t="s">
        <v>52</v>
      </c>
      <c r="G500" s="47"/>
      <c r="H500" s="47" t="s">
        <v>97</v>
      </c>
      <c r="N500" s="47"/>
    </row>
    <row r="501" spans="1:15" ht="16.5" x14ac:dyDescent="0.25">
      <c r="A501" s="326" t="s">
        <v>201</v>
      </c>
      <c r="B501" s="326"/>
      <c r="C501" s="326"/>
      <c r="D501" s="326"/>
      <c r="E501" s="326"/>
      <c r="F501" s="326"/>
      <c r="G501" s="326"/>
      <c r="H501" s="326" t="s">
        <v>340</v>
      </c>
      <c r="I501" s="326"/>
      <c r="J501" s="326"/>
      <c r="K501" s="326"/>
      <c r="L501" s="326"/>
      <c r="M501" s="326"/>
      <c r="N501" s="326"/>
      <c r="O501" s="326"/>
    </row>
    <row r="502" spans="1:15" ht="8.25" customHeight="1" thickBot="1" x14ac:dyDescent="0.3"/>
    <row r="503" spans="1:15" x14ac:dyDescent="0.25">
      <c r="A503" s="327" t="s">
        <v>56</v>
      </c>
      <c r="B503" s="322" t="s">
        <v>57</v>
      </c>
      <c r="C503" s="322" t="s">
        <v>58</v>
      </c>
      <c r="D503" s="322" t="s">
        <v>7</v>
      </c>
      <c r="E503" s="322" t="s">
        <v>59</v>
      </c>
      <c r="F503" s="322" t="s">
        <v>60</v>
      </c>
      <c r="G503" s="50" t="s">
        <v>61</v>
      </c>
      <c r="H503" s="327" t="s">
        <v>56</v>
      </c>
      <c r="I503" s="322" t="s">
        <v>57</v>
      </c>
      <c r="J503" s="322" t="s">
        <v>58</v>
      </c>
      <c r="K503" s="322" t="s">
        <v>7</v>
      </c>
      <c r="L503" s="322" t="s">
        <v>59</v>
      </c>
      <c r="M503" s="322" t="s">
        <v>60</v>
      </c>
      <c r="N503" s="322" t="s">
        <v>61</v>
      </c>
      <c r="O503" s="324"/>
    </row>
    <row r="504" spans="1:15" ht="15.75" thickBot="1" x14ac:dyDescent="0.3">
      <c r="A504" s="328"/>
      <c r="B504" s="323"/>
      <c r="C504" s="323"/>
      <c r="D504" s="323"/>
      <c r="E504" s="323"/>
      <c r="F504" s="323"/>
      <c r="G504" s="51" t="s">
        <v>62</v>
      </c>
      <c r="H504" s="328"/>
      <c r="I504" s="323"/>
      <c r="J504" s="323"/>
      <c r="K504" s="323"/>
      <c r="L504" s="323"/>
      <c r="M504" s="323"/>
      <c r="N504" s="51" t="s">
        <v>62</v>
      </c>
      <c r="O504" s="52" t="s">
        <v>63</v>
      </c>
    </row>
    <row r="505" spans="1:15" ht="13.5" customHeight="1" x14ac:dyDescent="0.25">
      <c r="A505" s="318" t="e">
        <f>+#REF!+1</f>
        <v>#REF!</v>
      </c>
      <c r="B505" s="312">
        <v>42278</v>
      </c>
      <c r="C505" s="314" t="s">
        <v>297</v>
      </c>
      <c r="D505" s="318" t="s">
        <v>341</v>
      </c>
      <c r="E505" s="318" t="s">
        <v>5</v>
      </c>
      <c r="F505" s="320">
        <v>100000</v>
      </c>
      <c r="G505" s="53">
        <v>719</v>
      </c>
      <c r="H505" s="310" t="s">
        <v>342</v>
      </c>
      <c r="I505" s="312">
        <v>45952</v>
      </c>
      <c r="J505" s="314" t="s">
        <v>188</v>
      </c>
      <c r="K505" s="316" t="s">
        <v>343</v>
      </c>
      <c r="L505" s="318" t="s">
        <v>66</v>
      </c>
      <c r="M505" s="320">
        <v>135000</v>
      </c>
      <c r="N505" s="53">
        <v>719</v>
      </c>
      <c r="O505" s="54">
        <v>100000</v>
      </c>
    </row>
    <row r="506" spans="1:15" ht="12.75" customHeight="1" thickBot="1" x14ac:dyDescent="0.3">
      <c r="A506" s="319"/>
      <c r="B506" s="361"/>
      <c r="C506" s="315"/>
      <c r="D506" s="319"/>
      <c r="E506" s="319"/>
      <c r="F506" s="321"/>
      <c r="G506" s="55">
        <v>721</v>
      </c>
      <c r="H506" s="319"/>
      <c r="I506" s="313"/>
      <c r="J506" s="315"/>
      <c r="K506" s="317"/>
      <c r="L506" s="319"/>
      <c r="M506" s="321"/>
      <c r="N506" s="125">
        <v>721</v>
      </c>
      <c r="O506" s="113">
        <f>+M505-O505</f>
        <v>35000</v>
      </c>
    </row>
    <row r="507" spans="1:15" ht="12.75" customHeight="1" x14ac:dyDescent="0.25">
      <c r="A507" s="57"/>
      <c r="B507" s="96"/>
      <c r="C507" s="103"/>
      <c r="D507" s="57"/>
      <c r="E507" s="57"/>
      <c r="F507" s="60"/>
      <c r="G507" s="61"/>
      <c r="H507" s="310" t="s">
        <v>344</v>
      </c>
      <c r="I507" s="312">
        <v>45952</v>
      </c>
      <c r="J507" s="314" t="s">
        <v>188</v>
      </c>
      <c r="K507" s="316" t="s">
        <v>345</v>
      </c>
      <c r="L507" s="318" t="s">
        <v>66</v>
      </c>
      <c r="M507" s="320">
        <v>702000</v>
      </c>
      <c r="N507" s="53">
        <v>719</v>
      </c>
      <c r="O507" s="54">
        <v>520000</v>
      </c>
    </row>
    <row r="508" spans="1:15" ht="12.75" customHeight="1" thickBot="1" x14ac:dyDescent="0.3">
      <c r="A508" s="57"/>
      <c r="B508" s="96"/>
      <c r="C508" s="103"/>
      <c r="D508" s="57"/>
      <c r="E508" s="57"/>
      <c r="F508" s="60"/>
      <c r="G508" s="61"/>
      <c r="H508" s="319"/>
      <c r="I508" s="313"/>
      <c r="J508" s="315"/>
      <c r="K508" s="317"/>
      <c r="L508" s="319"/>
      <c r="M508" s="321"/>
      <c r="N508" s="125">
        <v>721</v>
      </c>
      <c r="O508" s="113">
        <f>+M507-O507</f>
        <v>182000</v>
      </c>
    </row>
    <row r="509" spans="1:15" ht="12.75" customHeight="1" x14ac:dyDescent="0.25">
      <c r="A509" s="57"/>
      <c r="B509" s="96"/>
      <c r="C509" s="103"/>
      <c r="D509" s="57"/>
      <c r="E509" s="57"/>
      <c r="F509" s="60"/>
      <c r="G509" s="61"/>
      <c r="H509" s="310" t="s">
        <v>346</v>
      </c>
      <c r="I509" s="312">
        <v>45952</v>
      </c>
      <c r="J509" s="314" t="s">
        <v>251</v>
      </c>
      <c r="K509" s="318" t="s">
        <v>347</v>
      </c>
      <c r="L509" s="318" t="s">
        <v>5</v>
      </c>
      <c r="M509" s="320">
        <v>430000</v>
      </c>
      <c r="N509" s="53">
        <v>719</v>
      </c>
      <c r="O509" s="54">
        <v>430000</v>
      </c>
    </row>
    <row r="510" spans="1:15" ht="12.75" customHeight="1" thickBot="1" x14ac:dyDescent="0.3">
      <c r="A510" s="57"/>
      <c r="B510" s="96"/>
      <c r="C510" s="103"/>
      <c r="D510" s="57"/>
      <c r="E510" s="57"/>
      <c r="F510" s="60"/>
      <c r="G510" s="61"/>
      <c r="H510" s="319"/>
      <c r="I510" s="313"/>
      <c r="J510" s="315"/>
      <c r="K510" s="319"/>
      <c r="L510" s="319"/>
      <c r="M510" s="321"/>
      <c r="N510" s="125">
        <v>721</v>
      </c>
      <c r="O510" s="56">
        <f>+M509-O509</f>
        <v>0</v>
      </c>
    </row>
    <row r="511" spans="1:15" ht="12" customHeight="1" x14ac:dyDescent="0.25">
      <c r="A511" s="318" t="e">
        <f>+A505+1</f>
        <v>#REF!</v>
      </c>
      <c r="B511" s="312">
        <v>42278</v>
      </c>
      <c r="C511" s="318" t="s">
        <v>70</v>
      </c>
      <c r="D511" s="318" t="s">
        <v>348</v>
      </c>
      <c r="E511" s="318" t="s">
        <v>66</v>
      </c>
      <c r="F511" s="320">
        <v>80000</v>
      </c>
      <c r="G511" s="53">
        <v>719</v>
      </c>
      <c r="H511" s="310" t="s">
        <v>349</v>
      </c>
      <c r="I511" s="312">
        <v>45952</v>
      </c>
      <c r="J511" s="314" t="s">
        <v>288</v>
      </c>
      <c r="K511" s="318" t="s">
        <v>316</v>
      </c>
      <c r="L511" s="318" t="s">
        <v>5</v>
      </c>
      <c r="M511" s="320">
        <v>1133350</v>
      </c>
      <c r="N511" s="53">
        <v>719</v>
      </c>
      <c r="O511" s="54"/>
    </row>
    <row r="512" spans="1:15" ht="14.25" customHeight="1" thickBot="1" x14ac:dyDescent="0.3">
      <c r="A512" s="319"/>
      <c r="B512" s="361"/>
      <c r="C512" s="319"/>
      <c r="D512" s="319"/>
      <c r="E512" s="319"/>
      <c r="F512" s="321"/>
      <c r="G512" s="55">
        <v>721</v>
      </c>
      <c r="H512" s="319"/>
      <c r="I512" s="313"/>
      <c r="J512" s="315"/>
      <c r="K512" s="319"/>
      <c r="L512" s="319"/>
      <c r="M512" s="321"/>
      <c r="N512" s="125">
        <v>723</v>
      </c>
      <c r="O512" s="56">
        <f>+M511-O511</f>
        <v>1133350</v>
      </c>
    </row>
    <row r="513" spans="1:16" ht="12.75" customHeight="1" x14ac:dyDescent="0.25">
      <c r="A513" s="318"/>
      <c r="B513" s="312"/>
      <c r="C513" s="314"/>
      <c r="D513" s="318"/>
      <c r="E513" s="318"/>
      <c r="F513" s="320"/>
      <c r="G513" s="53">
        <v>719</v>
      </c>
      <c r="H513" s="310"/>
      <c r="I513" s="312"/>
      <c r="J513" s="314"/>
      <c r="K513" s="318"/>
      <c r="L513" s="318"/>
      <c r="M513" s="320"/>
      <c r="N513" s="53"/>
      <c r="O513" s="54"/>
    </row>
    <row r="514" spans="1:16" ht="14.25" customHeight="1" thickBot="1" x14ac:dyDescent="0.3">
      <c r="A514" s="319"/>
      <c r="B514" s="361"/>
      <c r="C514" s="315"/>
      <c r="D514" s="319"/>
      <c r="E514" s="319"/>
      <c r="F514" s="321"/>
      <c r="G514" s="55">
        <v>721</v>
      </c>
      <c r="H514" s="319"/>
      <c r="I514" s="313"/>
      <c r="J514" s="315"/>
      <c r="K514" s="319"/>
      <c r="L514" s="319"/>
      <c r="M514" s="321"/>
      <c r="N514" s="125"/>
      <c r="O514" s="56"/>
    </row>
    <row r="515" spans="1:16" ht="16.5" thickBot="1" x14ac:dyDescent="0.3">
      <c r="A515" s="297" t="s">
        <v>80</v>
      </c>
      <c r="B515" s="298"/>
      <c r="C515" s="298"/>
      <c r="D515" s="298"/>
      <c r="E515" s="299"/>
      <c r="F515" s="62">
        <f>SUM(F505:F514)</f>
        <v>180000</v>
      </c>
      <c r="H515" s="297" t="s">
        <v>80</v>
      </c>
      <c r="I515" s="298"/>
      <c r="J515" s="298"/>
      <c r="K515" s="298"/>
      <c r="L515" s="299"/>
      <c r="M515" s="62">
        <f>M505+M507+M509+M511</f>
        <v>2400350</v>
      </c>
    </row>
    <row r="516" spans="1:16" ht="16.5" thickBot="1" x14ac:dyDescent="0.3">
      <c r="A516" s="300" t="s">
        <v>81</v>
      </c>
      <c r="B516" s="301"/>
      <c r="C516" s="301"/>
      <c r="D516" s="301"/>
      <c r="E516" s="302"/>
      <c r="F516" s="63" t="e">
        <f>+F480</f>
        <v>#REF!</v>
      </c>
      <c r="H516" s="300" t="s">
        <v>81</v>
      </c>
      <c r="I516" s="301"/>
      <c r="J516" s="301"/>
      <c r="K516" s="301"/>
      <c r="L516" s="302"/>
      <c r="M516" s="106">
        <f>+M480</f>
        <v>321038161</v>
      </c>
      <c r="N516" s="64" t="s">
        <v>82</v>
      </c>
      <c r="O516" s="65"/>
    </row>
    <row r="517" spans="1:16" ht="16.5" thickBot="1" x14ac:dyDescent="0.3">
      <c r="A517" s="303" t="s">
        <v>83</v>
      </c>
      <c r="B517" s="304"/>
      <c r="C517" s="304"/>
      <c r="D517" s="304"/>
      <c r="E517" s="305"/>
      <c r="F517" s="66" t="e">
        <f>SUM(F515:F516)</f>
        <v>#REF!</v>
      </c>
      <c r="H517" s="303" t="s">
        <v>83</v>
      </c>
      <c r="I517" s="304"/>
      <c r="J517" s="304"/>
      <c r="K517" s="304"/>
      <c r="L517" s="305"/>
      <c r="M517" s="66">
        <f>M516+M515</f>
        <v>323438511</v>
      </c>
    </row>
    <row r="518" spans="1:16" ht="9.75" customHeight="1" x14ac:dyDescent="0.25">
      <c r="A518" s="67"/>
      <c r="B518" s="67"/>
      <c r="C518" s="67"/>
      <c r="D518" s="67"/>
      <c r="E518" s="67"/>
      <c r="H518" s="67"/>
      <c r="I518" s="67"/>
      <c r="J518" s="67"/>
      <c r="K518" s="67"/>
      <c r="L518" s="67"/>
    </row>
    <row r="519" spans="1:16" x14ac:dyDescent="0.25">
      <c r="A519" s="41" t="s">
        <v>350</v>
      </c>
      <c r="H519" s="41" t="s">
        <v>351</v>
      </c>
    </row>
    <row r="520" spans="1:16" ht="5.25" customHeight="1" x14ac:dyDescent="0.25">
      <c r="F520" s="68"/>
      <c r="M520" s="68"/>
    </row>
    <row r="521" spans="1:16" x14ac:dyDescent="0.25">
      <c r="A521" s="40" t="s">
        <v>86</v>
      </c>
      <c r="D521" s="69"/>
      <c r="F521" s="68"/>
      <c r="H521" s="40" t="s">
        <v>86</v>
      </c>
      <c r="K521" s="69"/>
      <c r="M521" s="68"/>
    </row>
    <row r="522" spans="1:16" ht="9" customHeight="1" thickBot="1" x14ac:dyDescent="0.3"/>
    <row r="523" spans="1:16" ht="16.5" customHeight="1" thickBot="1" x14ac:dyDescent="0.3">
      <c r="A523" s="306" t="s">
        <v>87</v>
      </c>
      <c r="B523" s="307"/>
      <c r="C523" s="307"/>
      <c r="D523" s="308"/>
      <c r="F523" s="40" t="s">
        <v>89</v>
      </c>
      <c r="H523" s="306" t="s">
        <v>87</v>
      </c>
      <c r="I523" s="307"/>
      <c r="J523" s="307"/>
      <c r="K523" s="308"/>
      <c r="M523" s="357" t="s">
        <v>89</v>
      </c>
      <c r="N523" s="357"/>
      <c r="O523" s="357"/>
    </row>
    <row r="524" spans="1:16" ht="27" customHeight="1" thickBot="1" x14ac:dyDescent="0.3">
      <c r="A524" s="70" t="s">
        <v>62</v>
      </c>
      <c r="B524" s="71" t="s">
        <v>90</v>
      </c>
      <c r="C524" s="72" t="s">
        <v>91</v>
      </c>
      <c r="D524" s="73" t="s">
        <v>92</v>
      </c>
      <c r="H524" s="70" t="s">
        <v>62</v>
      </c>
      <c r="I524" s="71" t="s">
        <v>90</v>
      </c>
      <c r="J524" s="72" t="s">
        <v>91</v>
      </c>
      <c r="K524" s="73" t="s">
        <v>92</v>
      </c>
      <c r="M524" s="124"/>
      <c r="N524" s="124"/>
      <c r="O524" s="124"/>
    </row>
    <row r="525" spans="1:16" ht="12" customHeight="1" x14ac:dyDescent="0.25">
      <c r="A525" s="75">
        <v>719</v>
      </c>
      <c r="B525" s="76" t="e">
        <f>+#REF!+#REF!+#REF!+#REF!+#REF!</f>
        <v>#REF!</v>
      </c>
      <c r="C525" s="77" t="e">
        <f>+D488</f>
        <v>#REF!</v>
      </c>
      <c r="D525" s="79" t="e">
        <f>+B525+C525</f>
        <v>#REF!</v>
      </c>
      <c r="H525" s="75">
        <v>719</v>
      </c>
      <c r="I525" s="76">
        <f>O505+O507+O509</f>
        <v>1050000</v>
      </c>
      <c r="J525" s="77">
        <f>+K488</f>
        <v>25060000</v>
      </c>
      <c r="K525" s="79">
        <f>+I525+J525</f>
        <v>26110000</v>
      </c>
      <c r="M525" s="124"/>
      <c r="N525" s="124"/>
      <c r="O525" s="124"/>
    </row>
    <row r="526" spans="1:16" ht="12" customHeight="1" x14ac:dyDescent="0.25">
      <c r="A526" s="80">
        <v>721</v>
      </c>
      <c r="B526" s="81" t="e">
        <f>+#REF!+#REF!+#REF!+#REF!+#REF!</f>
        <v>#REF!</v>
      </c>
      <c r="C526" s="77" t="e">
        <f>+D489</f>
        <v>#REF!</v>
      </c>
      <c r="D526" s="79" t="e">
        <f>+B526+C526</f>
        <v>#REF!</v>
      </c>
      <c r="H526" s="80">
        <v>721</v>
      </c>
      <c r="I526" s="81">
        <f>O506+O508</f>
        <v>217000</v>
      </c>
      <c r="J526" s="77">
        <f>+K489</f>
        <v>3619000</v>
      </c>
      <c r="K526" s="79">
        <f>+I526+J526</f>
        <v>3836000</v>
      </c>
      <c r="M526" s="124"/>
      <c r="N526" s="124"/>
      <c r="O526" s="124"/>
      <c r="P526" s="126"/>
    </row>
    <row r="527" spans="1:16" ht="14.25" customHeight="1" x14ac:dyDescent="0.25">
      <c r="A527" s="80">
        <v>722</v>
      </c>
      <c r="B527" s="81"/>
      <c r="C527" s="77" t="e">
        <f>+D490</f>
        <v>#REF!</v>
      </c>
      <c r="D527" s="79" t="e">
        <f>+B527+C527</f>
        <v>#REF!</v>
      </c>
      <c r="H527" s="80">
        <v>722</v>
      </c>
      <c r="I527" s="81"/>
      <c r="J527" s="77">
        <f>+K490</f>
        <v>0</v>
      </c>
      <c r="K527" s="79">
        <f>+I527+J527</f>
        <v>0</v>
      </c>
      <c r="M527" s="124"/>
      <c r="N527" s="124"/>
      <c r="O527" s="124"/>
    </row>
    <row r="528" spans="1:16" ht="13.5" customHeight="1" thickBot="1" x14ac:dyDescent="0.3">
      <c r="A528" s="80">
        <v>723</v>
      </c>
      <c r="B528" s="81"/>
      <c r="C528" s="77" t="e">
        <f>+D491</f>
        <v>#REF!</v>
      </c>
      <c r="D528" s="79" t="e">
        <f>+B528+C528</f>
        <v>#REF!</v>
      </c>
      <c r="F528" s="109" t="s">
        <v>304</v>
      </c>
      <c r="G528" s="84"/>
      <c r="H528" s="80">
        <v>723</v>
      </c>
      <c r="I528" s="81">
        <f>O512</f>
        <v>1133350</v>
      </c>
      <c r="J528" s="77">
        <f>+K491</f>
        <v>292359161</v>
      </c>
      <c r="K528" s="79">
        <f>+I528+J528</f>
        <v>293492511</v>
      </c>
      <c r="M528" s="343" t="s">
        <v>255</v>
      </c>
      <c r="N528" s="275"/>
      <c r="O528" s="275"/>
    </row>
    <row r="529" spans="1:20" ht="13.5" hidden="1" customHeight="1" x14ac:dyDescent="0.25">
      <c r="A529" s="85" t="s">
        <v>94</v>
      </c>
      <c r="B529" s="86"/>
      <c r="C529" s="77">
        <f>+D492</f>
        <v>1965625</v>
      </c>
      <c r="D529" s="89">
        <f>+B529+C529</f>
        <v>1965625</v>
      </c>
      <c r="F529" s="45"/>
      <c r="H529" s="85" t="s">
        <v>94</v>
      </c>
      <c r="I529" s="86"/>
      <c r="J529" s="77">
        <f>+K492</f>
        <v>0</v>
      </c>
      <c r="K529" s="89">
        <f>+I529+J529</f>
        <v>0</v>
      </c>
      <c r="M529" s="45"/>
    </row>
    <row r="530" spans="1:20" ht="15.75" customHeight="1" thickBot="1" x14ac:dyDescent="0.3">
      <c r="A530" s="90"/>
      <c r="B530" s="91" t="e">
        <f>SUM(B525:B529)</f>
        <v>#REF!</v>
      </c>
      <c r="C530" s="92" t="e">
        <f>SUM(C525:C529)</f>
        <v>#REF!</v>
      </c>
      <c r="D530" s="93" t="e">
        <f>SUM(D525:D529)</f>
        <v>#REF!</v>
      </c>
      <c r="H530" s="90"/>
      <c r="I530" s="94">
        <f>I525+I526+I528</f>
        <v>2400350</v>
      </c>
      <c r="J530" s="94">
        <f>SUM(J525:J529)</f>
        <v>321038161</v>
      </c>
      <c r="K530" s="95">
        <f>SUM(K525:K529)</f>
        <v>323438511</v>
      </c>
    </row>
    <row r="531" spans="1:20" ht="15" customHeight="1" x14ac:dyDescent="0.25">
      <c r="A531" s="39" t="s">
        <v>46</v>
      </c>
      <c r="B531" s="40"/>
      <c r="H531" s="127" t="s">
        <v>46</v>
      </c>
      <c r="I531" s="127"/>
      <c r="J531" s="128"/>
      <c r="K531" s="126"/>
      <c r="L531" s="126"/>
      <c r="M531" s="126"/>
      <c r="N531" s="126"/>
      <c r="O531" s="126"/>
    </row>
    <row r="532" spans="1:20" ht="16.5" x14ac:dyDescent="0.25">
      <c r="A532" s="41" t="s">
        <v>47</v>
      </c>
      <c r="H532" s="128" t="s">
        <v>47</v>
      </c>
      <c r="I532" s="128"/>
      <c r="J532" s="128"/>
      <c r="K532" s="126"/>
      <c r="L532" s="126"/>
      <c r="M532" s="126"/>
      <c r="N532" s="126"/>
      <c r="O532" s="126"/>
    </row>
    <row r="533" spans="1:20" ht="16.5" x14ac:dyDescent="0.25">
      <c r="A533" s="41" t="s">
        <v>48</v>
      </c>
      <c r="H533" s="128" t="s">
        <v>48</v>
      </c>
      <c r="I533" s="128"/>
      <c r="J533" s="128"/>
      <c r="K533" s="126"/>
      <c r="L533" s="126"/>
      <c r="M533" s="126"/>
      <c r="N533" s="126"/>
      <c r="O533" s="126"/>
    </row>
    <row r="534" spans="1:20" ht="16.5" x14ac:dyDescent="0.25">
      <c r="A534" s="41" t="s">
        <v>49</v>
      </c>
      <c r="H534" s="128" t="s">
        <v>49</v>
      </c>
      <c r="I534" s="128"/>
      <c r="J534" s="128"/>
      <c r="K534" s="126"/>
      <c r="L534" s="126"/>
      <c r="M534" s="126"/>
      <c r="N534" s="126"/>
      <c r="O534" s="126"/>
    </row>
    <row r="535" spans="1:20" ht="6.75" customHeight="1" x14ac:dyDescent="0.25">
      <c r="A535" s="40"/>
      <c r="B535" s="40"/>
      <c r="H535" s="39"/>
      <c r="I535" s="39"/>
      <c r="J535" s="126"/>
      <c r="K535" s="129"/>
      <c r="L535" s="126"/>
      <c r="M535" s="126"/>
      <c r="N535" s="126"/>
      <c r="O535" s="126"/>
    </row>
    <row r="536" spans="1:20" ht="15" customHeight="1" x14ac:dyDescent="0.25">
      <c r="A536" s="45" t="s">
        <v>352</v>
      </c>
      <c r="G536" s="45"/>
      <c r="H536" s="39" t="s">
        <v>353</v>
      </c>
      <c r="I536" s="126"/>
      <c r="J536" s="126"/>
      <c r="K536" s="126"/>
      <c r="L536" s="126"/>
      <c r="M536" s="126"/>
      <c r="N536" s="39"/>
      <c r="O536" s="126"/>
    </row>
    <row r="537" spans="1:20" ht="14.1" customHeight="1" x14ac:dyDescent="0.25">
      <c r="A537" s="47" t="s">
        <v>52</v>
      </c>
      <c r="G537" s="47"/>
      <c r="H537" s="126" t="s">
        <v>97</v>
      </c>
      <c r="I537" s="126"/>
      <c r="J537" s="126"/>
      <c r="K537" s="126"/>
      <c r="L537" s="126"/>
      <c r="M537" s="126"/>
      <c r="N537" s="126"/>
      <c r="O537" s="126"/>
    </row>
    <row r="538" spans="1:20" s="130" customFormat="1" ht="15" customHeight="1" x14ac:dyDescent="0.3">
      <c r="A538" s="384" t="s">
        <v>201</v>
      </c>
      <c r="B538" s="384"/>
      <c r="C538" s="384"/>
      <c r="D538" s="384"/>
      <c r="E538" s="384"/>
      <c r="F538" s="384"/>
      <c r="G538" s="384"/>
      <c r="H538" s="384" t="s">
        <v>354</v>
      </c>
      <c r="I538" s="384"/>
      <c r="J538" s="384"/>
      <c r="K538" s="384"/>
      <c r="L538" s="384"/>
      <c r="M538" s="384"/>
      <c r="N538" s="384"/>
      <c r="O538" s="384"/>
    </row>
    <row r="539" spans="1:20" ht="8.25" customHeight="1" thickBot="1" x14ac:dyDescent="0.35">
      <c r="H539" s="131"/>
      <c r="I539" s="131"/>
      <c r="J539" s="131"/>
      <c r="K539" s="131"/>
      <c r="L539" s="131"/>
      <c r="M539" s="131"/>
      <c r="N539" s="131"/>
      <c r="O539" s="131"/>
    </row>
    <row r="540" spans="1:20" ht="19.5" x14ac:dyDescent="0.25">
      <c r="A540" s="327" t="s">
        <v>56</v>
      </c>
      <c r="B540" s="322" t="s">
        <v>57</v>
      </c>
      <c r="C540" s="322" t="s">
        <v>58</v>
      </c>
      <c r="D540" s="322" t="s">
        <v>7</v>
      </c>
      <c r="E540" s="322" t="s">
        <v>59</v>
      </c>
      <c r="F540" s="322" t="s">
        <v>60</v>
      </c>
      <c r="G540" s="132" t="s">
        <v>61</v>
      </c>
      <c r="H540" s="381" t="s">
        <v>56</v>
      </c>
      <c r="I540" s="379" t="s">
        <v>57</v>
      </c>
      <c r="J540" s="379" t="s">
        <v>58</v>
      </c>
      <c r="K540" s="379" t="s">
        <v>7</v>
      </c>
      <c r="L540" s="379" t="s">
        <v>59</v>
      </c>
      <c r="M540" s="379" t="s">
        <v>60</v>
      </c>
      <c r="N540" s="379" t="s">
        <v>61</v>
      </c>
      <c r="O540" s="380"/>
      <c r="T540" s="41" t="s">
        <v>355</v>
      </c>
    </row>
    <row r="541" spans="1:20" ht="20.25" thickBot="1" x14ac:dyDescent="0.3">
      <c r="A541" s="328"/>
      <c r="B541" s="323"/>
      <c r="C541" s="323"/>
      <c r="D541" s="323"/>
      <c r="E541" s="323"/>
      <c r="F541" s="323"/>
      <c r="G541" s="133" t="s">
        <v>62</v>
      </c>
      <c r="H541" s="382"/>
      <c r="I541" s="383"/>
      <c r="J541" s="383"/>
      <c r="K541" s="383"/>
      <c r="L541" s="383"/>
      <c r="M541" s="383"/>
      <c r="N541" s="134" t="s">
        <v>62</v>
      </c>
      <c r="O541" s="135" t="s">
        <v>63</v>
      </c>
      <c r="Q541" s="41" t="s">
        <v>356</v>
      </c>
    </row>
    <row r="542" spans="1:20" ht="12" customHeight="1" x14ac:dyDescent="0.25">
      <c r="A542" s="318" t="e">
        <f>+#REF!+1</f>
        <v>#REF!</v>
      </c>
      <c r="B542" s="312">
        <v>42286</v>
      </c>
      <c r="C542" s="314" t="s">
        <v>221</v>
      </c>
      <c r="D542" s="318" t="s">
        <v>357</v>
      </c>
      <c r="E542" s="318" t="s">
        <v>5</v>
      </c>
      <c r="F542" s="320">
        <v>224000</v>
      </c>
      <c r="G542" s="136">
        <v>719</v>
      </c>
      <c r="H542" s="373" t="s">
        <v>358</v>
      </c>
      <c r="I542" s="375">
        <v>46010</v>
      </c>
      <c r="J542" s="376" t="s">
        <v>188</v>
      </c>
      <c r="K542" s="377" t="s">
        <v>359</v>
      </c>
      <c r="L542" s="377" t="s">
        <v>283</v>
      </c>
      <c r="M542" s="378">
        <v>50000</v>
      </c>
      <c r="N542" s="137">
        <v>719</v>
      </c>
      <c r="O542" s="138">
        <v>50000</v>
      </c>
    </row>
    <row r="543" spans="1:20" ht="17.25" customHeight="1" thickBot="1" x14ac:dyDescent="0.3">
      <c r="A543" s="319"/>
      <c r="B543" s="361"/>
      <c r="C543" s="315"/>
      <c r="D543" s="319"/>
      <c r="E543" s="319"/>
      <c r="F543" s="321"/>
      <c r="G543" s="139">
        <v>721</v>
      </c>
      <c r="H543" s="374"/>
      <c r="I543" s="375"/>
      <c r="J543" s="376"/>
      <c r="K543" s="377"/>
      <c r="L543" s="377"/>
      <c r="M543" s="378"/>
      <c r="N543" s="137">
        <v>723</v>
      </c>
      <c r="O543" s="138">
        <f>+M542-O542</f>
        <v>0</v>
      </c>
    </row>
    <row r="544" spans="1:20" ht="13.5" customHeight="1" x14ac:dyDescent="0.25">
      <c r="A544" s="57"/>
      <c r="B544" s="96"/>
      <c r="C544" s="103"/>
      <c r="D544" s="57"/>
      <c r="E544" s="57"/>
      <c r="F544" s="60"/>
      <c r="G544" s="140"/>
      <c r="H544" s="373" t="s">
        <v>360</v>
      </c>
      <c r="I544" s="375">
        <v>46010</v>
      </c>
      <c r="J544" s="376" t="s">
        <v>188</v>
      </c>
      <c r="K544" s="377" t="s">
        <v>361</v>
      </c>
      <c r="L544" s="377" t="s">
        <v>283</v>
      </c>
      <c r="M544" s="378">
        <v>60000</v>
      </c>
      <c r="N544" s="137">
        <v>719</v>
      </c>
      <c r="O544" s="138">
        <v>60000</v>
      </c>
      <c r="Q544" s="126"/>
    </row>
    <row r="545" spans="1:18" ht="13.5" customHeight="1" thickBot="1" x14ac:dyDescent="0.3">
      <c r="A545" s="57"/>
      <c r="B545" s="96"/>
      <c r="C545" s="103"/>
      <c r="D545" s="57"/>
      <c r="E545" s="57"/>
      <c r="F545" s="60"/>
      <c r="G545" s="140"/>
      <c r="H545" s="374"/>
      <c r="I545" s="375"/>
      <c r="J545" s="376"/>
      <c r="K545" s="377"/>
      <c r="L545" s="377"/>
      <c r="M545" s="378"/>
      <c r="N545" s="137">
        <v>723</v>
      </c>
      <c r="O545" s="138">
        <f>+M544-O544</f>
        <v>0</v>
      </c>
    </row>
    <row r="546" spans="1:18" ht="13.5" customHeight="1" x14ac:dyDescent="0.25">
      <c r="A546" s="318" t="e">
        <f>+A542+1</f>
        <v>#REF!</v>
      </c>
      <c r="B546" s="312">
        <v>42286</v>
      </c>
      <c r="C546" s="318" t="s">
        <v>70</v>
      </c>
      <c r="D546" s="318" t="s">
        <v>357</v>
      </c>
      <c r="E546" s="318" t="s">
        <v>5</v>
      </c>
      <c r="F546" s="320">
        <v>392000</v>
      </c>
      <c r="G546" s="136">
        <v>719</v>
      </c>
      <c r="H546" s="373" t="s">
        <v>362</v>
      </c>
      <c r="I546" s="375">
        <v>46010</v>
      </c>
      <c r="J546" s="376" t="s">
        <v>281</v>
      </c>
      <c r="K546" s="377" t="s">
        <v>363</v>
      </c>
      <c r="L546" s="377" t="s">
        <v>283</v>
      </c>
      <c r="M546" s="378">
        <v>420000</v>
      </c>
      <c r="N546" s="137">
        <v>719</v>
      </c>
      <c r="O546" s="138">
        <v>420000</v>
      </c>
    </row>
    <row r="547" spans="1:18" ht="13.5" customHeight="1" thickBot="1" x14ac:dyDescent="0.3">
      <c r="A547" s="319"/>
      <c r="B547" s="361"/>
      <c r="C547" s="319"/>
      <c r="D547" s="319"/>
      <c r="E547" s="319"/>
      <c r="F547" s="321"/>
      <c r="G547" s="139">
        <v>721</v>
      </c>
      <c r="H547" s="374"/>
      <c r="I547" s="375"/>
      <c r="J547" s="376"/>
      <c r="K547" s="377"/>
      <c r="L547" s="377"/>
      <c r="M547" s="378"/>
      <c r="N547" s="137">
        <v>723</v>
      </c>
      <c r="O547" s="138">
        <f>+M546-O546</f>
        <v>0</v>
      </c>
    </row>
    <row r="548" spans="1:18" ht="20.25" thickBot="1" x14ac:dyDescent="0.35">
      <c r="A548" s="297" t="s">
        <v>80</v>
      </c>
      <c r="B548" s="298"/>
      <c r="C548" s="298"/>
      <c r="D548" s="298"/>
      <c r="E548" s="299"/>
      <c r="F548" s="62">
        <f>SUM(F542:F547)</f>
        <v>616000</v>
      </c>
      <c r="H548" s="367" t="s">
        <v>80</v>
      </c>
      <c r="I548" s="368"/>
      <c r="J548" s="368"/>
      <c r="K548" s="368"/>
      <c r="L548" s="368"/>
      <c r="M548" s="141">
        <f>SUM(M542:M547)</f>
        <v>530000</v>
      </c>
      <c r="N548" s="142"/>
      <c r="O548" s="143"/>
    </row>
    <row r="549" spans="1:18" ht="20.25" thickBot="1" x14ac:dyDescent="0.35">
      <c r="A549" s="300" t="s">
        <v>81</v>
      </c>
      <c r="B549" s="301"/>
      <c r="C549" s="301"/>
      <c r="D549" s="301"/>
      <c r="E549" s="302"/>
      <c r="F549" s="63" t="e">
        <f>+F517</f>
        <v>#REF!</v>
      </c>
      <c r="H549" s="369" t="s">
        <v>81</v>
      </c>
      <c r="I549" s="370"/>
      <c r="J549" s="370"/>
      <c r="K549" s="370"/>
      <c r="L549" s="370"/>
      <c r="M549" s="144">
        <v>342219011</v>
      </c>
      <c r="N549" s="145" t="s">
        <v>82</v>
      </c>
      <c r="O549" s="146"/>
    </row>
    <row r="550" spans="1:18" ht="20.25" thickBot="1" x14ac:dyDescent="0.35">
      <c r="A550" s="303" t="s">
        <v>83</v>
      </c>
      <c r="B550" s="304"/>
      <c r="C550" s="304"/>
      <c r="D550" s="304"/>
      <c r="E550" s="305"/>
      <c r="F550" s="66" t="e">
        <f>SUM(F548:F549)</f>
        <v>#REF!</v>
      </c>
      <c r="H550" s="371" t="s">
        <v>83</v>
      </c>
      <c r="I550" s="372"/>
      <c r="J550" s="372"/>
      <c r="K550" s="372"/>
      <c r="L550" s="372"/>
      <c r="M550" s="147">
        <f>SUM(M548:M549)</f>
        <v>342749011</v>
      </c>
      <c r="N550" s="148"/>
      <c r="O550" s="149"/>
    </row>
    <row r="551" spans="1:18" ht="6.75" customHeight="1" x14ac:dyDescent="0.3">
      <c r="A551" s="67"/>
      <c r="B551" s="67"/>
      <c r="C551" s="67"/>
      <c r="D551" s="67"/>
      <c r="E551" s="67"/>
      <c r="H551" s="150"/>
      <c r="I551" s="150"/>
      <c r="J551" s="150"/>
      <c r="K551" s="150"/>
      <c r="L551" s="150"/>
      <c r="M551" s="151"/>
      <c r="N551" s="151"/>
      <c r="O551" s="151"/>
    </row>
    <row r="552" spans="1:18" ht="20.25" x14ac:dyDescent="0.35">
      <c r="A552" s="41" t="s">
        <v>364</v>
      </c>
      <c r="H552" s="151" t="s">
        <v>365</v>
      </c>
      <c r="I552" s="151"/>
      <c r="J552" s="151"/>
      <c r="K552" s="151"/>
      <c r="L552" s="151"/>
      <c r="M552" s="151"/>
      <c r="N552" s="151"/>
      <c r="O552" s="151"/>
    </row>
    <row r="553" spans="1:18" ht="5.25" customHeight="1" x14ac:dyDescent="0.3">
      <c r="F553" s="68"/>
      <c r="H553" s="151"/>
      <c r="I553" s="151"/>
      <c r="J553" s="151"/>
      <c r="K553" s="151"/>
      <c r="L553" s="151"/>
      <c r="M553" s="152"/>
      <c r="N553" s="151"/>
      <c r="O553" s="151"/>
    </row>
    <row r="554" spans="1:18" ht="19.5" x14ac:dyDescent="0.3">
      <c r="A554" s="40" t="s">
        <v>86</v>
      </c>
      <c r="D554" s="69"/>
      <c r="F554" s="68"/>
      <c r="H554" s="153" t="s">
        <v>86</v>
      </c>
      <c r="I554" s="151"/>
      <c r="J554" s="151"/>
      <c r="K554" s="154"/>
      <c r="L554" s="151"/>
      <c r="M554" s="152"/>
      <c r="N554" s="151"/>
      <c r="O554" s="151"/>
      <c r="R554" s="41" t="s">
        <v>356</v>
      </c>
    </row>
    <row r="555" spans="1:18" ht="6.75" customHeight="1" thickBot="1" x14ac:dyDescent="0.35">
      <c r="H555" s="151"/>
      <c r="I555" s="151"/>
      <c r="J555" s="151"/>
      <c r="K555" s="151"/>
      <c r="L555" s="151"/>
      <c r="M555" s="151"/>
      <c r="N555" s="151"/>
      <c r="O555" s="151"/>
    </row>
    <row r="556" spans="1:18" ht="20.25" thickBot="1" x14ac:dyDescent="0.35">
      <c r="A556" s="306" t="s">
        <v>87</v>
      </c>
      <c r="B556" s="307"/>
      <c r="C556" s="307"/>
      <c r="D556" s="308"/>
      <c r="F556" s="40" t="s">
        <v>89</v>
      </c>
      <c r="H556" s="362" t="s">
        <v>87</v>
      </c>
      <c r="I556" s="363"/>
      <c r="J556" s="363"/>
      <c r="K556" s="364"/>
      <c r="L556" s="151"/>
      <c r="M556" s="365" t="s">
        <v>89</v>
      </c>
      <c r="N556" s="365"/>
      <c r="O556" s="365"/>
    </row>
    <row r="557" spans="1:18" ht="28.5" customHeight="1" thickBot="1" x14ac:dyDescent="0.4">
      <c r="A557" s="70" t="s">
        <v>62</v>
      </c>
      <c r="B557" s="71" t="s">
        <v>90</v>
      </c>
      <c r="C557" s="72" t="s">
        <v>91</v>
      </c>
      <c r="D557" s="73" t="s">
        <v>92</v>
      </c>
      <c r="H557" s="155" t="s">
        <v>62</v>
      </c>
      <c r="I557" s="156" t="s">
        <v>90</v>
      </c>
      <c r="J557" s="157" t="s">
        <v>91</v>
      </c>
      <c r="K557" s="158" t="s">
        <v>92</v>
      </c>
      <c r="L557" s="151"/>
      <c r="M557" s="159"/>
      <c r="N557" s="159"/>
      <c r="O557" s="159"/>
    </row>
    <row r="558" spans="1:18" ht="12.75" customHeight="1" x14ac:dyDescent="0.3">
      <c r="A558" s="75">
        <v>719</v>
      </c>
      <c r="B558" s="76" t="e">
        <f>+#REF!+#REF!+#REF!+#REF!+#REF!</f>
        <v>#REF!</v>
      </c>
      <c r="C558" s="77" t="e">
        <f>+D525</f>
        <v>#REF!</v>
      </c>
      <c r="D558" s="79" t="e">
        <f>+B558+C558</f>
        <v>#REF!</v>
      </c>
      <c r="H558" s="160">
        <v>719</v>
      </c>
      <c r="I558" s="161">
        <f>O542+O544+O546</f>
        <v>530000</v>
      </c>
      <c r="J558" s="162">
        <v>40566000</v>
      </c>
      <c r="K558" s="163">
        <f>+I558+J558</f>
        <v>41096000</v>
      </c>
      <c r="L558" s="151"/>
      <c r="M558" s="159"/>
      <c r="N558" s="159"/>
      <c r="O558" s="159"/>
    </row>
    <row r="559" spans="1:18" ht="15" customHeight="1" x14ac:dyDescent="0.3">
      <c r="A559" s="80">
        <v>721</v>
      </c>
      <c r="B559" s="81" t="e">
        <f>+#REF!+#REF!+#REF!+#REF!+#REF!</f>
        <v>#REF!</v>
      </c>
      <c r="C559" s="77" t="e">
        <f>+D526</f>
        <v>#REF!</v>
      </c>
      <c r="D559" s="79" t="e">
        <f>+B559+C559</f>
        <v>#REF!</v>
      </c>
      <c r="H559" s="164">
        <v>721</v>
      </c>
      <c r="I559" s="165"/>
      <c r="J559" s="162">
        <v>8160500</v>
      </c>
      <c r="K559" s="163">
        <f>+I559+J559</f>
        <v>8160500</v>
      </c>
      <c r="L559" s="151"/>
      <c r="M559" s="159"/>
      <c r="N559" s="159"/>
      <c r="O559" s="159"/>
    </row>
    <row r="560" spans="1:18" ht="12.95" customHeight="1" x14ac:dyDescent="0.3">
      <c r="A560" s="80">
        <v>722</v>
      </c>
      <c r="B560" s="81"/>
      <c r="C560" s="77" t="e">
        <f>+D527</f>
        <v>#REF!</v>
      </c>
      <c r="D560" s="79" t="e">
        <f>+B560+C560</f>
        <v>#REF!</v>
      </c>
      <c r="H560" s="164">
        <v>722</v>
      </c>
      <c r="I560" s="165"/>
      <c r="J560" s="162">
        <f>+K527</f>
        <v>0</v>
      </c>
      <c r="K560" s="163">
        <f>+I560+J560</f>
        <v>0</v>
      </c>
      <c r="L560" s="151"/>
      <c r="M560" s="159"/>
      <c r="N560" s="159"/>
      <c r="O560" s="159"/>
    </row>
    <row r="561" spans="1:15" ht="14.25" customHeight="1" thickBot="1" x14ac:dyDescent="0.35">
      <c r="A561" s="80">
        <v>723</v>
      </c>
      <c r="B561" s="81"/>
      <c r="C561" s="77" t="e">
        <f>+D528</f>
        <v>#REF!</v>
      </c>
      <c r="D561" s="79" t="e">
        <f>+B561+C561</f>
        <v>#REF!</v>
      </c>
      <c r="F561" s="109" t="s">
        <v>304</v>
      </c>
      <c r="G561" s="84"/>
      <c r="H561" s="164">
        <v>723</v>
      </c>
      <c r="I561" s="165" t="e">
        <f>+O543+O545+O547+#REF!+#REF!</f>
        <v>#REF!</v>
      </c>
      <c r="J561" s="162">
        <f>+K528</f>
        <v>293492511</v>
      </c>
      <c r="K561" s="163" t="e">
        <f>+I561+J561</f>
        <v>#REF!</v>
      </c>
      <c r="L561" s="151"/>
      <c r="M561" s="366" t="s">
        <v>255</v>
      </c>
      <c r="N561" s="365"/>
      <c r="O561" s="365"/>
    </row>
    <row r="562" spans="1:15" ht="12.75" hidden="1" customHeight="1" x14ac:dyDescent="0.3">
      <c r="A562" s="166"/>
      <c r="B562" s="167"/>
      <c r="C562" s="168"/>
      <c r="D562" s="89"/>
      <c r="F562" s="109"/>
      <c r="G562" s="84"/>
      <c r="H562" s="169" t="s">
        <v>94</v>
      </c>
      <c r="I562" s="170"/>
      <c r="J562" s="171">
        <f>+K529</f>
        <v>0</v>
      </c>
      <c r="K562" s="172">
        <f>+I562+J562</f>
        <v>0</v>
      </c>
      <c r="L562" s="151"/>
      <c r="M562" s="173"/>
      <c r="N562" s="174"/>
      <c r="O562" s="174"/>
    </row>
    <row r="563" spans="1:15" ht="16.5" customHeight="1" thickBot="1" x14ac:dyDescent="0.35">
      <c r="A563" s="90"/>
      <c r="B563" s="91" t="e">
        <f>SUM(B558:B561)</f>
        <v>#REF!</v>
      </c>
      <c r="C563" s="92" t="e">
        <f>SUM(C558:C561)</f>
        <v>#REF!</v>
      </c>
      <c r="D563" s="93" t="e">
        <f>SUM(D558:D561)</f>
        <v>#REF!</v>
      </c>
      <c r="H563" s="175"/>
      <c r="I563" s="176" t="e">
        <f>SUM(I558:I561)</f>
        <v>#REF!</v>
      </c>
      <c r="J563" s="176">
        <f>SUM(J558:J562)</f>
        <v>342219011</v>
      </c>
      <c r="K563" s="177" t="e">
        <f>SUM(K558:K562)</f>
        <v>#REF!</v>
      </c>
      <c r="L563" s="151"/>
      <c r="M563" s="151"/>
      <c r="N563" s="151"/>
      <c r="O563" s="151"/>
    </row>
    <row r="564" spans="1:15" ht="16.5" x14ac:dyDescent="0.25">
      <c r="A564" s="39" t="s">
        <v>46</v>
      </c>
      <c r="B564" s="40"/>
      <c r="H564" s="39" t="s">
        <v>46</v>
      </c>
      <c r="I564" s="40"/>
    </row>
    <row r="565" spans="1:15" x14ac:dyDescent="0.25">
      <c r="A565" s="41" t="s">
        <v>47</v>
      </c>
      <c r="H565" s="41" t="s">
        <v>47</v>
      </c>
    </row>
    <row r="566" spans="1:15" x14ac:dyDescent="0.25">
      <c r="A566" s="41" t="s">
        <v>48</v>
      </c>
      <c r="H566" s="41" t="s">
        <v>48</v>
      </c>
    </row>
    <row r="567" spans="1:15" x14ac:dyDescent="0.25">
      <c r="A567" s="41" t="s">
        <v>49</v>
      </c>
      <c r="H567" s="41" t="s">
        <v>49</v>
      </c>
    </row>
    <row r="568" spans="1:15" ht="5.25" customHeight="1" x14ac:dyDescent="0.25">
      <c r="A568" s="40"/>
      <c r="B568" s="40"/>
      <c r="H568" s="40"/>
      <c r="I568" s="40"/>
    </row>
    <row r="569" spans="1:15" ht="16.5" x14ac:dyDescent="0.25">
      <c r="A569" s="45" t="s">
        <v>366</v>
      </c>
      <c r="G569" s="45"/>
      <c r="H569" s="45" t="s">
        <v>367</v>
      </c>
      <c r="N569" s="45"/>
    </row>
    <row r="570" spans="1:15" ht="15.75" x14ac:dyDescent="0.25">
      <c r="A570" s="47" t="s">
        <v>52</v>
      </c>
      <c r="G570" s="47"/>
      <c r="H570" s="47" t="s">
        <v>97</v>
      </c>
      <c r="N570" s="47"/>
    </row>
    <row r="571" spans="1:15" ht="15" customHeight="1" x14ac:dyDescent="0.25">
      <c r="A571" s="326" t="s">
        <v>201</v>
      </c>
      <c r="B571" s="326"/>
      <c r="C571" s="326"/>
      <c r="D571" s="326"/>
      <c r="E571" s="326"/>
      <c r="F571" s="326"/>
      <c r="G571" s="326"/>
      <c r="H571" s="326" t="s">
        <v>368</v>
      </c>
      <c r="I571" s="326"/>
      <c r="J571" s="326"/>
      <c r="K571" s="326"/>
      <c r="L571" s="326"/>
      <c r="M571" s="326"/>
      <c r="N571" s="326"/>
      <c r="O571" s="326"/>
    </row>
    <row r="572" spans="1:15" ht="9.75" customHeight="1" thickBot="1" x14ac:dyDescent="0.3"/>
    <row r="573" spans="1:15" x14ac:dyDescent="0.25">
      <c r="A573" s="327" t="s">
        <v>56</v>
      </c>
      <c r="B573" s="322" t="s">
        <v>57</v>
      </c>
      <c r="C573" s="322" t="s">
        <v>58</v>
      </c>
      <c r="D573" s="322" t="s">
        <v>7</v>
      </c>
      <c r="E573" s="322" t="s">
        <v>59</v>
      </c>
      <c r="F573" s="322" t="s">
        <v>60</v>
      </c>
      <c r="G573" s="50" t="s">
        <v>61</v>
      </c>
      <c r="H573" s="327" t="s">
        <v>56</v>
      </c>
      <c r="I573" s="322" t="s">
        <v>57</v>
      </c>
      <c r="J573" s="322" t="s">
        <v>58</v>
      </c>
      <c r="K573" s="322" t="s">
        <v>7</v>
      </c>
      <c r="L573" s="322" t="s">
        <v>59</v>
      </c>
      <c r="M573" s="322" t="s">
        <v>60</v>
      </c>
      <c r="N573" s="322" t="s">
        <v>61</v>
      </c>
      <c r="O573" s="324"/>
    </row>
    <row r="574" spans="1:15" ht="15.75" thickBot="1" x14ac:dyDescent="0.3">
      <c r="A574" s="328"/>
      <c r="B574" s="323"/>
      <c r="C574" s="323"/>
      <c r="D574" s="323"/>
      <c r="E574" s="323"/>
      <c r="F574" s="323"/>
      <c r="G574" s="51" t="s">
        <v>62</v>
      </c>
      <c r="H574" s="328"/>
      <c r="I574" s="323"/>
      <c r="J574" s="323"/>
      <c r="K574" s="323"/>
      <c r="L574" s="323"/>
      <c r="M574" s="323"/>
      <c r="N574" s="51" t="s">
        <v>62</v>
      </c>
      <c r="O574" s="52" t="s">
        <v>63</v>
      </c>
    </row>
    <row r="575" spans="1:15" ht="13.5" customHeight="1" x14ac:dyDescent="0.25">
      <c r="A575" s="318" t="e">
        <f>+#REF!+1</f>
        <v>#REF!</v>
      </c>
      <c r="B575" s="312">
        <v>42286</v>
      </c>
      <c r="C575" s="314" t="s">
        <v>297</v>
      </c>
      <c r="D575" s="318" t="s">
        <v>369</v>
      </c>
      <c r="E575" s="318" t="s">
        <v>66</v>
      </c>
      <c r="F575" s="320">
        <v>50000</v>
      </c>
      <c r="G575" s="53">
        <v>719</v>
      </c>
      <c r="H575" s="310" t="s">
        <v>370</v>
      </c>
      <c r="I575" s="312">
        <v>46022</v>
      </c>
      <c r="J575" s="314" t="s">
        <v>193</v>
      </c>
      <c r="K575" s="318" t="s">
        <v>35</v>
      </c>
      <c r="L575" s="318" t="s">
        <v>283</v>
      </c>
      <c r="M575" s="320">
        <v>420000</v>
      </c>
      <c r="N575" s="53">
        <v>719</v>
      </c>
      <c r="O575" s="54">
        <v>420000</v>
      </c>
    </row>
    <row r="576" spans="1:15" ht="12.75" customHeight="1" thickBot="1" x14ac:dyDescent="0.3">
      <c r="A576" s="319"/>
      <c r="B576" s="313"/>
      <c r="C576" s="315"/>
      <c r="D576" s="319"/>
      <c r="E576" s="319"/>
      <c r="F576" s="321"/>
      <c r="G576" s="55">
        <v>721</v>
      </c>
      <c r="H576" s="319"/>
      <c r="I576" s="313"/>
      <c r="J576" s="315"/>
      <c r="K576" s="319"/>
      <c r="L576" s="319"/>
      <c r="M576" s="321"/>
      <c r="N576" s="55">
        <v>723</v>
      </c>
      <c r="O576" s="56">
        <f>+M575-O575</f>
        <v>0</v>
      </c>
    </row>
    <row r="577" spans="1:15" ht="12.75" customHeight="1" x14ac:dyDescent="0.25">
      <c r="A577" s="318" t="e">
        <f>+A575+1</f>
        <v>#REF!</v>
      </c>
      <c r="B577" s="312">
        <v>42286</v>
      </c>
      <c r="C577" s="318" t="s">
        <v>70</v>
      </c>
      <c r="D577" s="318" t="s">
        <v>371</v>
      </c>
      <c r="E577" s="318" t="s">
        <v>66</v>
      </c>
      <c r="F577" s="320">
        <v>20000</v>
      </c>
      <c r="G577" s="53">
        <v>719</v>
      </c>
      <c r="H577" s="310" t="s">
        <v>372</v>
      </c>
      <c r="I577" s="312">
        <v>46022</v>
      </c>
      <c r="J577" s="314" t="s">
        <v>188</v>
      </c>
      <c r="K577" s="318" t="s">
        <v>35</v>
      </c>
      <c r="L577" s="318" t="s">
        <v>283</v>
      </c>
      <c r="M577" s="320">
        <v>130000</v>
      </c>
      <c r="N577" s="53">
        <v>719</v>
      </c>
      <c r="O577" s="54">
        <v>130000</v>
      </c>
    </row>
    <row r="578" spans="1:15" ht="12.75" customHeight="1" thickBot="1" x14ac:dyDescent="0.3">
      <c r="A578" s="319"/>
      <c r="B578" s="313"/>
      <c r="C578" s="319"/>
      <c r="D578" s="319"/>
      <c r="E578" s="319"/>
      <c r="F578" s="321"/>
      <c r="G578" s="55">
        <v>721</v>
      </c>
      <c r="H578" s="319"/>
      <c r="I578" s="313"/>
      <c r="J578" s="315"/>
      <c r="K578" s="319"/>
      <c r="L578" s="319"/>
      <c r="M578" s="321"/>
      <c r="N578" s="55">
        <v>723</v>
      </c>
      <c r="O578" s="56">
        <f>+M577-O577</f>
        <v>0</v>
      </c>
    </row>
    <row r="579" spans="1:15" ht="12.75" customHeight="1" x14ac:dyDescent="0.25">
      <c r="A579" s="57"/>
      <c r="B579" s="58"/>
      <c r="C579" s="57"/>
      <c r="D579" s="57"/>
      <c r="E579" s="57"/>
      <c r="F579" s="60"/>
      <c r="G579" s="61"/>
      <c r="H579" s="310" t="s">
        <v>373</v>
      </c>
      <c r="I579" s="312">
        <v>46022</v>
      </c>
      <c r="J579" s="314" t="s">
        <v>374</v>
      </c>
      <c r="K579" s="318" t="s">
        <v>375</v>
      </c>
      <c r="L579" s="318" t="s">
        <v>33</v>
      </c>
      <c r="M579" s="320">
        <v>400000</v>
      </c>
      <c r="N579" s="53">
        <v>719</v>
      </c>
      <c r="O579" s="54"/>
    </row>
    <row r="580" spans="1:15" ht="12.75" customHeight="1" thickBot="1" x14ac:dyDescent="0.3">
      <c r="A580" s="57"/>
      <c r="B580" s="58"/>
      <c r="C580" s="57"/>
      <c r="D580" s="57"/>
      <c r="E580" s="57"/>
      <c r="F580" s="60"/>
      <c r="G580" s="61"/>
      <c r="H580" s="319"/>
      <c r="I580" s="313"/>
      <c r="J580" s="315"/>
      <c r="K580" s="319"/>
      <c r="L580" s="319"/>
      <c r="M580" s="321"/>
      <c r="N580" s="55">
        <v>723</v>
      </c>
      <c r="O580" s="56">
        <v>400000</v>
      </c>
    </row>
    <row r="581" spans="1:15" ht="12.75" customHeight="1" x14ac:dyDescent="0.25">
      <c r="A581" s="57"/>
      <c r="B581" s="58"/>
      <c r="C581" s="57"/>
      <c r="D581" s="57"/>
      <c r="E581" s="57"/>
      <c r="F581" s="60"/>
      <c r="G581" s="61"/>
      <c r="H581" s="310" t="s">
        <v>376</v>
      </c>
      <c r="I581" s="312">
        <v>46022</v>
      </c>
      <c r="J581" s="314" t="s">
        <v>377</v>
      </c>
      <c r="K581" s="318" t="s">
        <v>35</v>
      </c>
      <c r="L581" s="318" t="s">
        <v>5</v>
      </c>
      <c r="M581" s="320">
        <v>1840475</v>
      </c>
      <c r="N581" s="53">
        <v>719</v>
      </c>
      <c r="O581" s="54"/>
    </row>
    <row r="582" spans="1:15" ht="12.75" customHeight="1" thickBot="1" x14ac:dyDescent="0.3">
      <c r="A582" s="57"/>
      <c r="B582" s="58"/>
      <c r="C582" s="57"/>
      <c r="D582" s="57"/>
      <c r="E582" s="57"/>
      <c r="F582" s="60"/>
      <c r="G582" s="61"/>
      <c r="H582" s="319"/>
      <c r="I582" s="313"/>
      <c r="J582" s="315"/>
      <c r="K582" s="319"/>
      <c r="L582" s="319"/>
      <c r="M582" s="321"/>
      <c r="N582" s="55">
        <v>723</v>
      </c>
      <c r="O582" s="56">
        <v>1840475</v>
      </c>
    </row>
    <row r="583" spans="1:15" ht="16.5" thickBot="1" x14ac:dyDescent="0.3">
      <c r="A583" s="297" t="s">
        <v>80</v>
      </c>
      <c r="B583" s="298"/>
      <c r="C583" s="298"/>
      <c r="D583" s="298"/>
      <c r="E583" s="299"/>
      <c r="F583" s="62">
        <f>SUM(F575:F582)</f>
        <v>70000</v>
      </c>
      <c r="H583" s="297" t="s">
        <v>80</v>
      </c>
      <c r="I583" s="298"/>
      <c r="J583" s="298"/>
      <c r="K583" s="298"/>
      <c r="L583" s="299"/>
      <c r="M583" s="62">
        <f>SUM(M575:M582)</f>
        <v>2790475</v>
      </c>
    </row>
    <row r="584" spans="1:15" ht="16.5" thickBot="1" x14ac:dyDescent="0.3">
      <c r="A584" s="300" t="s">
        <v>81</v>
      </c>
      <c r="B584" s="301"/>
      <c r="C584" s="301"/>
      <c r="D584" s="301"/>
      <c r="E584" s="302"/>
      <c r="F584" s="63" t="e">
        <f>+F550</f>
        <v>#REF!</v>
      </c>
      <c r="H584" s="300" t="s">
        <v>81</v>
      </c>
      <c r="I584" s="301"/>
      <c r="J584" s="301"/>
      <c r="K584" s="301"/>
      <c r="L584" s="302"/>
      <c r="M584" s="106">
        <f>+M550</f>
        <v>342749011</v>
      </c>
      <c r="N584" s="64" t="s">
        <v>82</v>
      </c>
      <c r="O584" s="65"/>
    </row>
    <row r="585" spans="1:15" ht="14.25" customHeight="1" thickBot="1" x14ac:dyDescent="0.3">
      <c r="A585" s="303" t="s">
        <v>83</v>
      </c>
      <c r="B585" s="304"/>
      <c r="C585" s="304"/>
      <c r="D585" s="304"/>
      <c r="E585" s="305"/>
      <c r="F585" s="66" t="e">
        <f>SUM(F583:F584)</f>
        <v>#REF!</v>
      </c>
      <c r="H585" s="303" t="s">
        <v>83</v>
      </c>
      <c r="I585" s="304"/>
      <c r="J585" s="304"/>
      <c r="K585" s="304"/>
      <c r="L585" s="305"/>
      <c r="M585" s="66">
        <f>SUM(M583:M584)</f>
        <v>345539486</v>
      </c>
    </row>
    <row r="586" spans="1:15" ht="9.75" customHeight="1" x14ac:dyDescent="0.25">
      <c r="A586" s="67"/>
      <c r="B586" s="67"/>
      <c r="C586" s="67"/>
      <c r="D586" s="67"/>
      <c r="E586" s="67"/>
      <c r="H586" s="67"/>
      <c r="I586" s="67"/>
      <c r="J586" s="67"/>
      <c r="K586" s="67"/>
      <c r="L586" s="67"/>
    </row>
    <row r="587" spans="1:15" x14ac:dyDescent="0.25">
      <c r="A587" s="41" t="s">
        <v>378</v>
      </c>
      <c r="H587" s="41" t="s">
        <v>379</v>
      </c>
    </row>
    <row r="588" spans="1:15" ht="6" customHeight="1" x14ac:dyDescent="0.25">
      <c r="F588" s="68"/>
      <c r="M588" s="68"/>
    </row>
    <row r="589" spans="1:15" x14ac:dyDescent="0.25">
      <c r="A589" s="40" t="s">
        <v>86</v>
      </c>
      <c r="D589" s="69"/>
      <c r="F589" s="68"/>
      <c r="H589" s="40" t="s">
        <v>86</v>
      </c>
      <c r="K589" s="69"/>
      <c r="M589" s="68"/>
    </row>
    <row r="590" spans="1:15" ht="7.5" customHeight="1" thickBot="1" x14ac:dyDescent="0.3"/>
    <row r="591" spans="1:15" ht="17.25" thickBot="1" x14ac:dyDescent="0.3">
      <c r="A591" s="306" t="s">
        <v>87</v>
      </c>
      <c r="B591" s="307"/>
      <c r="C591" s="307"/>
      <c r="D591" s="308"/>
      <c r="F591" s="40" t="s">
        <v>89</v>
      </c>
      <c r="H591" s="306" t="s">
        <v>87</v>
      </c>
      <c r="I591" s="307"/>
      <c r="J591" s="307"/>
      <c r="K591" s="308"/>
      <c r="M591" s="357" t="s">
        <v>89</v>
      </c>
      <c r="N591" s="357"/>
      <c r="O591" s="357"/>
    </row>
    <row r="592" spans="1:15" ht="29.25" customHeight="1" thickBot="1" x14ac:dyDescent="0.3">
      <c r="A592" s="70" t="s">
        <v>62</v>
      </c>
      <c r="B592" s="71" t="s">
        <v>90</v>
      </c>
      <c r="C592" s="72" t="s">
        <v>91</v>
      </c>
      <c r="D592" s="73" t="s">
        <v>92</v>
      </c>
      <c r="H592" s="70" t="s">
        <v>62</v>
      </c>
      <c r="I592" s="71" t="s">
        <v>90</v>
      </c>
      <c r="J592" s="72" t="s">
        <v>91</v>
      </c>
      <c r="K592" s="73" t="s">
        <v>92</v>
      </c>
      <c r="M592" s="124"/>
      <c r="N592" s="124"/>
      <c r="O592" s="124"/>
    </row>
    <row r="593" spans="1:15" ht="15" customHeight="1" x14ac:dyDescent="0.25">
      <c r="A593" s="75">
        <v>719</v>
      </c>
      <c r="B593" s="76" t="e">
        <f>+#REF!+#REF!+#REF!+#REF!+#REF!</f>
        <v>#REF!</v>
      </c>
      <c r="C593" s="77" t="e">
        <f>+D558</f>
        <v>#REF!</v>
      </c>
      <c r="D593" s="79" t="e">
        <f>+B593+C593</f>
        <v>#REF!</v>
      </c>
      <c r="H593" s="75">
        <v>719</v>
      </c>
      <c r="I593" s="178">
        <v>550000</v>
      </c>
      <c r="J593" s="77">
        <f>+K558</f>
        <v>41096000</v>
      </c>
      <c r="K593" s="79">
        <v>41646000</v>
      </c>
      <c r="M593" s="124"/>
      <c r="N593" s="124"/>
      <c r="O593" s="124"/>
    </row>
    <row r="594" spans="1:15" ht="12.75" customHeight="1" x14ac:dyDescent="0.25">
      <c r="A594" s="80">
        <v>721</v>
      </c>
      <c r="B594" s="81" t="e">
        <f>+#REF!+#REF!+#REF!+#REF!+#REF!</f>
        <v>#REF!</v>
      </c>
      <c r="C594" s="77" t="e">
        <f>+D559</f>
        <v>#REF!</v>
      </c>
      <c r="D594" s="79" t="e">
        <f>+B594+C594</f>
        <v>#REF!</v>
      </c>
      <c r="H594" s="80">
        <v>721</v>
      </c>
      <c r="I594" s="81">
        <v>0</v>
      </c>
      <c r="J594" s="77">
        <f>+K559</f>
        <v>8160500</v>
      </c>
      <c r="K594" s="79">
        <v>8160500</v>
      </c>
      <c r="M594" s="124"/>
      <c r="N594" s="124"/>
      <c r="O594" s="124"/>
    </row>
    <row r="595" spans="1:15" ht="12.75" customHeight="1" x14ac:dyDescent="0.25">
      <c r="A595" s="80">
        <v>722</v>
      </c>
      <c r="B595" s="81"/>
      <c r="C595" s="77" t="e">
        <f>+D560</f>
        <v>#REF!</v>
      </c>
      <c r="D595" s="79" t="e">
        <f>+B595+C595</f>
        <v>#REF!</v>
      </c>
      <c r="H595" s="80">
        <v>722</v>
      </c>
      <c r="I595" s="81"/>
      <c r="J595" s="77">
        <f>+K560</f>
        <v>0</v>
      </c>
      <c r="K595" s="79">
        <f>+I595+J595</f>
        <v>0</v>
      </c>
      <c r="M595" s="124"/>
      <c r="N595" s="124"/>
      <c r="O595" s="124"/>
    </row>
    <row r="596" spans="1:15" ht="14.25" customHeight="1" thickBot="1" x14ac:dyDescent="0.3">
      <c r="A596" s="80">
        <v>723</v>
      </c>
      <c r="B596" s="81"/>
      <c r="C596" s="77" t="e">
        <f>+D561</f>
        <v>#REF!</v>
      </c>
      <c r="D596" s="79" t="e">
        <f>+B596+C596</f>
        <v>#REF!</v>
      </c>
      <c r="F596" s="109" t="s">
        <v>304</v>
      </c>
      <c r="G596" s="84"/>
      <c r="H596" s="80">
        <v>723</v>
      </c>
      <c r="I596" s="81">
        <v>2240475</v>
      </c>
      <c r="J596" s="77" t="e">
        <f>+K561</f>
        <v>#REF!</v>
      </c>
      <c r="K596" s="79">
        <v>295732986</v>
      </c>
      <c r="M596" s="343" t="s">
        <v>255</v>
      </c>
      <c r="N596" s="275"/>
      <c r="O596" s="275"/>
    </row>
    <row r="597" spans="1:15" ht="15" hidden="1" customHeight="1" x14ac:dyDescent="0.25">
      <c r="A597" s="166"/>
      <c r="B597" s="179"/>
      <c r="C597" s="180"/>
      <c r="D597" s="181"/>
      <c r="F597" s="109"/>
      <c r="G597" s="84"/>
      <c r="H597" s="85" t="s">
        <v>94</v>
      </c>
      <c r="I597" s="179"/>
      <c r="J597" s="182">
        <f>+J562</f>
        <v>0</v>
      </c>
      <c r="K597" s="181">
        <f>+I597+J597</f>
        <v>0</v>
      </c>
      <c r="M597" s="183"/>
      <c r="N597" s="184"/>
      <c r="O597" s="184"/>
    </row>
    <row r="598" spans="1:15" ht="18" customHeight="1" thickBot="1" x14ac:dyDescent="0.3">
      <c r="A598" s="90"/>
      <c r="B598" s="94" t="e">
        <f>SUM(B593:B596)</f>
        <v>#REF!</v>
      </c>
      <c r="C598" s="185" t="e">
        <f>+D563</f>
        <v>#REF!</v>
      </c>
      <c r="D598" s="95" t="e">
        <f>SUM(D593:D596)</f>
        <v>#REF!</v>
      </c>
      <c r="H598" s="90"/>
      <c r="I598" s="186">
        <f>+I593+I596</f>
        <v>2790475</v>
      </c>
      <c r="J598" s="186" t="e">
        <f>SUM(J593:J597)</f>
        <v>#REF!</v>
      </c>
      <c r="K598" s="95">
        <f>SUM(K593:K597)</f>
        <v>345539486</v>
      </c>
    </row>
    <row r="599" spans="1:15" ht="16.5" x14ac:dyDescent="0.25">
      <c r="A599" s="39" t="s">
        <v>46</v>
      </c>
      <c r="B599" s="40"/>
      <c r="H599" s="39" t="s">
        <v>46</v>
      </c>
      <c r="I599" s="40"/>
    </row>
    <row r="600" spans="1:15" x14ac:dyDescent="0.25">
      <c r="A600" s="41" t="s">
        <v>47</v>
      </c>
      <c r="H600" s="41" t="s">
        <v>47</v>
      </c>
    </row>
    <row r="601" spans="1:15" x14ac:dyDescent="0.25">
      <c r="A601" s="41" t="s">
        <v>48</v>
      </c>
      <c r="H601" s="41" t="s">
        <v>48</v>
      </c>
    </row>
    <row r="602" spans="1:15" x14ac:dyDescent="0.25">
      <c r="A602" s="41" t="s">
        <v>49</v>
      </c>
      <c r="H602" s="41" t="s">
        <v>49</v>
      </c>
    </row>
    <row r="603" spans="1:15" ht="6.75" customHeight="1" x14ac:dyDescent="0.25">
      <c r="A603" s="40"/>
      <c r="B603" s="40"/>
      <c r="H603" s="40"/>
      <c r="I603" s="40"/>
    </row>
    <row r="604" spans="1:15" ht="14.25" customHeight="1" x14ac:dyDescent="0.25">
      <c r="A604" s="45" t="s">
        <v>380</v>
      </c>
      <c r="G604" s="45"/>
      <c r="H604" s="45" t="s">
        <v>381</v>
      </c>
      <c r="N604" s="45"/>
    </row>
    <row r="605" spans="1:15" ht="15.75" x14ac:dyDescent="0.25">
      <c r="A605" s="47" t="s">
        <v>52</v>
      </c>
      <c r="G605" s="47"/>
      <c r="H605" s="47" t="s">
        <v>97</v>
      </c>
      <c r="N605" s="47"/>
    </row>
    <row r="606" spans="1:15" ht="16.5" x14ac:dyDescent="0.25">
      <c r="A606" s="326" t="s">
        <v>201</v>
      </c>
      <c r="B606" s="326"/>
      <c r="C606" s="326"/>
      <c r="D606" s="326"/>
      <c r="E606" s="326"/>
      <c r="F606" s="326"/>
      <c r="G606" s="326"/>
      <c r="H606" s="326" t="s">
        <v>116</v>
      </c>
      <c r="I606" s="326"/>
      <c r="J606" s="326"/>
      <c r="K606" s="326"/>
      <c r="L606" s="326"/>
      <c r="M606" s="326"/>
      <c r="N606" s="326"/>
      <c r="O606" s="326"/>
    </row>
    <row r="607" spans="1:15" ht="14.25" customHeight="1" thickBot="1" x14ac:dyDescent="0.3"/>
    <row r="608" spans="1:15" x14ac:dyDescent="0.25">
      <c r="A608" s="327" t="s">
        <v>56</v>
      </c>
      <c r="B608" s="322" t="s">
        <v>57</v>
      </c>
      <c r="C608" s="322" t="s">
        <v>58</v>
      </c>
      <c r="D608" s="322" t="s">
        <v>7</v>
      </c>
      <c r="E608" s="322" t="s">
        <v>59</v>
      </c>
      <c r="F608" s="322" t="s">
        <v>60</v>
      </c>
      <c r="G608" s="50" t="s">
        <v>61</v>
      </c>
      <c r="H608" s="327" t="s">
        <v>56</v>
      </c>
      <c r="I608" s="322" t="s">
        <v>57</v>
      </c>
      <c r="J608" s="322" t="s">
        <v>58</v>
      </c>
      <c r="K608" s="322" t="s">
        <v>7</v>
      </c>
      <c r="L608" s="322" t="s">
        <v>59</v>
      </c>
      <c r="M608" s="322" t="s">
        <v>60</v>
      </c>
      <c r="N608" s="322" t="s">
        <v>61</v>
      </c>
      <c r="O608" s="324"/>
    </row>
    <row r="609" spans="1:17" ht="15.75" thickBot="1" x14ac:dyDescent="0.3">
      <c r="A609" s="328"/>
      <c r="B609" s="323"/>
      <c r="C609" s="323"/>
      <c r="D609" s="323"/>
      <c r="E609" s="323"/>
      <c r="F609" s="323"/>
      <c r="G609" s="51" t="s">
        <v>62</v>
      </c>
      <c r="H609" s="328"/>
      <c r="I609" s="323"/>
      <c r="J609" s="323"/>
      <c r="K609" s="323"/>
      <c r="L609" s="323"/>
      <c r="M609" s="323"/>
      <c r="N609" s="51" t="s">
        <v>62</v>
      </c>
      <c r="O609" s="52" t="s">
        <v>63</v>
      </c>
    </row>
    <row r="610" spans="1:17" ht="14.25" customHeight="1" x14ac:dyDescent="0.25">
      <c r="A610" s="318" t="e">
        <f>+#REF!+1</f>
        <v>#REF!</v>
      </c>
      <c r="B610" s="312">
        <v>42286</v>
      </c>
      <c r="C610" s="314" t="s">
        <v>221</v>
      </c>
      <c r="D610" s="318" t="s">
        <v>382</v>
      </c>
      <c r="E610" s="318" t="s">
        <v>5</v>
      </c>
      <c r="F610" s="320">
        <v>70000</v>
      </c>
      <c r="G610" s="53">
        <v>719</v>
      </c>
      <c r="H610" s="310" t="s">
        <v>383</v>
      </c>
      <c r="I610" s="312">
        <v>46022</v>
      </c>
      <c r="J610" s="314" t="s">
        <v>193</v>
      </c>
      <c r="K610" s="318" t="s">
        <v>384</v>
      </c>
      <c r="L610" s="318" t="s">
        <v>66</v>
      </c>
      <c r="M610" s="320">
        <v>1012500</v>
      </c>
      <c r="N610" s="53">
        <v>719</v>
      </c>
      <c r="O610" s="114">
        <v>750000</v>
      </c>
      <c r="Q610" s="41">
        <f>178500+192500+171500+287000</f>
        <v>829500</v>
      </c>
    </row>
    <row r="611" spans="1:17" ht="12" customHeight="1" thickBot="1" x14ac:dyDescent="0.3">
      <c r="A611" s="319"/>
      <c r="B611" s="361"/>
      <c r="C611" s="315"/>
      <c r="D611" s="319"/>
      <c r="E611" s="319"/>
      <c r="F611" s="321"/>
      <c r="G611" s="55">
        <v>721</v>
      </c>
      <c r="H611" s="319"/>
      <c r="I611" s="313"/>
      <c r="J611" s="315"/>
      <c r="K611" s="319"/>
      <c r="L611" s="319"/>
      <c r="M611" s="321"/>
      <c r="N611" s="55">
        <v>721</v>
      </c>
      <c r="O611" s="113">
        <v>262500</v>
      </c>
    </row>
    <row r="612" spans="1:17" ht="13.5" customHeight="1" x14ac:dyDescent="0.25">
      <c r="A612" s="57"/>
      <c r="B612" s="96"/>
      <c r="C612" s="103"/>
      <c r="D612" s="57"/>
      <c r="E612" s="57"/>
      <c r="F612" s="60"/>
      <c r="G612" s="61"/>
      <c r="H612" s="310" t="s">
        <v>385</v>
      </c>
      <c r="I612" s="312">
        <v>46022</v>
      </c>
      <c r="J612" s="314" t="s">
        <v>386</v>
      </c>
      <c r="K612" s="318" t="s">
        <v>384</v>
      </c>
      <c r="L612" s="318" t="s">
        <v>66</v>
      </c>
      <c r="M612" s="320">
        <v>810000</v>
      </c>
      <c r="N612" s="53">
        <v>719</v>
      </c>
      <c r="O612" s="114">
        <v>600000</v>
      </c>
    </row>
    <row r="613" spans="1:17" ht="12.75" customHeight="1" thickBot="1" x14ac:dyDescent="0.3">
      <c r="A613" s="57"/>
      <c r="B613" s="96"/>
      <c r="C613" s="103"/>
      <c r="D613" s="57"/>
      <c r="E613" s="57"/>
      <c r="F613" s="60"/>
      <c r="G613" s="61"/>
      <c r="H613" s="319"/>
      <c r="I613" s="313"/>
      <c r="J613" s="315"/>
      <c r="K613" s="319"/>
      <c r="L613" s="319"/>
      <c r="M613" s="321"/>
      <c r="N613" s="55">
        <v>721</v>
      </c>
      <c r="O613" s="113">
        <v>210000</v>
      </c>
    </row>
    <row r="614" spans="1:17" ht="13.5" customHeight="1" x14ac:dyDescent="0.25">
      <c r="A614" s="318" t="e">
        <f>+A610+1</f>
        <v>#REF!</v>
      </c>
      <c r="B614" s="312">
        <v>42286</v>
      </c>
      <c r="C614" s="318" t="s">
        <v>70</v>
      </c>
      <c r="D614" s="318" t="s">
        <v>387</v>
      </c>
      <c r="E614" s="318" t="s">
        <v>5</v>
      </c>
      <c r="F614" s="320">
        <v>182000</v>
      </c>
      <c r="G614" s="53">
        <v>719</v>
      </c>
      <c r="H614" s="310" t="s">
        <v>388</v>
      </c>
      <c r="I614" s="312">
        <v>46022</v>
      </c>
      <c r="J614" s="314" t="s">
        <v>193</v>
      </c>
      <c r="K614" s="318" t="s">
        <v>35</v>
      </c>
      <c r="L614" s="318" t="s">
        <v>66</v>
      </c>
      <c r="M614" s="320">
        <v>1134000</v>
      </c>
      <c r="N614" s="53">
        <v>719</v>
      </c>
      <c r="O614" s="114">
        <v>840000</v>
      </c>
    </row>
    <row r="615" spans="1:17" ht="12.75" customHeight="1" thickBot="1" x14ac:dyDescent="0.3">
      <c r="A615" s="319"/>
      <c r="B615" s="361"/>
      <c r="C615" s="319"/>
      <c r="D615" s="319"/>
      <c r="E615" s="319"/>
      <c r="F615" s="321"/>
      <c r="G615" s="55">
        <v>721</v>
      </c>
      <c r="H615" s="319"/>
      <c r="I615" s="313"/>
      <c r="J615" s="315"/>
      <c r="K615" s="319"/>
      <c r="L615" s="319"/>
      <c r="M615" s="321"/>
      <c r="N615" s="55">
        <v>721</v>
      </c>
      <c r="O615" s="113">
        <f>+M614-O614</f>
        <v>294000</v>
      </c>
    </row>
    <row r="616" spans="1:17" ht="12" customHeight="1" x14ac:dyDescent="0.25">
      <c r="A616" s="57"/>
      <c r="B616" s="96"/>
      <c r="C616" s="57"/>
      <c r="D616" s="57"/>
      <c r="E616" s="57"/>
      <c r="F616" s="60"/>
      <c r="G616" s="61"/>
      <c r="H616" s="310" t="s">
        <v>389</v>
      </c>
      <c r="I616" s="312">
        <v>46022</v>
      </c>
      <c r="J616" s="335" t="s">
        <v>386</v>
      </c>
      <c r="K616" s="318" t="s">
        <v>35</v>
      </c>
      <c r="L616" s="318" t="s">
        <v>66</v>
      </c>
      <c r="M616" s="320">
        <v>432000</v>
      </c>
      <c r="N616" s="53">
        <v>719</v>
      </c>
      <c r="O616" s="114">
        <v>320000</v>
      </c>
    </row>
    <row r="617" spans="1:17" ht="12" customHeight="1" thickBot="1" x14ac:dyDescent="0.3">
      <c r="A617" s="57"/>
      <c r="B617" s="96"/>
      <c r="C617" s="57"/>
      <c r="D617" s="57"/>
      <c r="E617" s="57"/>
      <c r="F617" s="60"/>
      <c r="G617" s="61"/>
      <c r="H617" s="319"/>
      <c r="I617" s="313"/>
      <c r="J617" s="336"/>
      <c r="K617" s="319"/>
      <c r="L617" s="319"/>
      <c r="M617" s="321"/>
      <c r="N617" s="55">
        <v>721</v>
      </c>
      <c r="O617" s="113">
        <v>112000</v>
      </c>
    </row>
    <row r="618" spans="1:17" ht="16.5" thickBot="1" x14ac:dyDescent="0.3">
      <c r="A618" s="297" t="s">
        <v>80</v>
      </c>
      <c r="B618" s="298"/>
      <c r="C618" s="298"/>
      <c r="D618" s="298"/>
      <c r="E618" s="299"/>
      <c r="F618" s="62">
        <f>SUM(F610:F617)</f>
        <v>252000</v>
      </c>
      <c r="H618" s="297" t="s">
        <v>80</v>
      </c>
      <c r="I618" s="298"/>
      <c r="J618" s="298"/>
      <c r="K618" s="298"/>
      <c r="L618" s="299"/>
      <c r="M618" s="62">
        <f>SUM(M610:M617)</f>
        <v>3388500</v>
      </c>
    </row>
    <row r="619" spans="1:17" ht="16.5" thickBot="1" x14ac:dyDescent="0.3">
      <c r="A619" s="300" t="s">
        <v>81</v>
      </c>
      <c r="B619" s="301"/>
      <c r="C619" s="301"/>
      <c r="D619" s="301"/>
      <c r="E619" s="302"/>
      <c r="F619" s="63" t="e">
        <f>+F585</f>
        <v>#REF!</v>
      </c>
      <c r="H619" s="300" t="s">
        <v>81</v>
      </c>
      <c r="I619" s="301"/>
      <c r="J619" s="301"/>
      <c r="K619" s="301"/>
      <c r="L619" s="302"/>
      <c r="M619" s="106">
        <v>345539486</v>
      </c>
      <c r="N619" s="64" t="s">
        <v>82</v>
      </c>
      <c r="O619" s="65"/>
    </row>
    <row r="620" spans="1:17" ht="16.5" thickBot="1" x14ac:dyDescent="0.3">
      <c r="A620" s="303" t="s">
        <v>83</v>
      </c>
      <c r="B620" s="304"/>
      <c r="C620" s="304"/>
      <c r="D620" s="304"/>
      <c r="E620" s="305"/>
      <c r="F620" s="66" t="e">
        <f>SUM(F618:F619)</f>
        <v>#REF!</v>
      </c>
      <c r="H620" s="303" t="s">
        <v>83</v>
      </c>
      <c r="I620" s="304"/>
      <c r="J620" s="304"/>
      <c r="K620" s="304"/>
      <c r="L620" s="305"/>
      <c r="M620" s="66">
        <f>SUM(M618:M619)</f>
        <v>348927986</v>
      </c>
    </row>
    <row r="621" spans="1:17" ht="8.25" customHeight="1" x14ac:dyDescent="0.25">
      <c r="A621" s="67"/>
      <c r="B621" s="67"/>
      <c r="C621" s="67"/>
      <c r="D621" s="67"/>
      <c r="E621" s="67"/>
      <c r="H621" s="67"/>
      <c r="I621" s="67"/>
      <c r="J621" s="67"/>
      <c r="K621" s="67"/>
      <c r="L621" s="67"/>
    </row>
    <row r="622" spans="1:17" x14ac:dyDescent="0.25">
      <c r="A622" s="41" t="s">
        <v>390</v>
      </c>
      <c r="H622" s="41" t="s">
        <v>391</v>
      </c>
    </row>
    <row r="623" spans="1:17" ht="5.25" customHeight="1" x14ac:dyDescent="0.25">
      <c r="F623" s="68"/>
      <c r="M623" s="68"/>
    </row>
    <row r="624" spans="1:17" x14ac:dyDescent="0.25">
      <c r="A624" s="40" t="s">
        <v>86</v>
      </c>
      <c r="D624" s="69"/>
      <c r="F624" s="68"/>
      <c r="H624" s="40" t="s">
        <v>86</v>
      </c>
      <c r="K624" s="69"/>
      <c r="M624" s="68"/>
    </row>
    <row r="625" spans="1:15" ht="9" customHeight="1" thickBot="1" x14ac:dyDescent="0.3"/>
    <row r="626" spans="1:15" ht="17.25" thickBot="1" x14ac:dyDescent="0.3">
      <c r="A626" s="306" t="s">
        <v>87</v>
      </c>
      <c r="B626" s="307"/>
      <c r="C626" s="307"/>
      <c r="D626" s="308"/>
      <c r="F626" s="40" t="s">
        <v>89</v>
      </c>
      <c r="H626" s="306" t="s">
        <v>87</v>
      </c>
      <c r="I626" s="307"/>
      <c r="J626" s="307"/>
      <c r="K626" s="308"/>
      <c r="M626" s="357" t="s">
        <v>89</v>
      </c>
      <c r="N626" s="357"/>
      <c r="O626" s="357"/>
    </row>
    <row r="627" spans="1:15" ht="28.5" customHeight="1" thickBot="1" x14ac:dyDescent="0.3">
      <c r="A627" s="70" t="s">
        <v>62</v>
      </c>
      <c r="B627" s="71" t="s">
        <v>90</v>
      </c>
      <c r="C627" s="72" t="s">
        <v>91</v>
      </c>
      <c r="D627" s="73" t="s">
        <v>92</v>
      </c>
      <c r="H627" s="70" t="s">
        <v>62</v>
      </c>
      <c r="I627" s="71" t="s">
        <v>90</v>
      </c>
      <c r="J627" s="72" t="s">
        <v>91</v>
      </c>
      <c r="K627" s="73" t="s">
        <v>92</v>
      </c>
      <c r="M627" s="124"/>
      <c r="N627" s="124"/>
      <c r="O627" s="124"/>
    </row>
    <row r="628" spans="1:15" ht="12.75" customHeight="1" x14ac:dyDescent="0.25">
      <c r="A628" s="75">
        <v>719</v>
      </c>
      <c r="B628" s="76" t="e">
        <f>+#REF!+#REF!+#REF!+#REF!+#REF!</f>
        <v>#REF!</v>
      </c>
      <c r="C628" s="77" t="e">
        <f>+D593</f>
        <v>#REF!</v>
      </c>
      <c r="D628" s="79" t="e">
        <f>+B628+C628</f>
        <v>#REF!</v>
      </c>
      <c r="H628" s="75">
        <v>719</v>
      </c>
      <c r="I628" s="76">
        <f>+O610+O612+O614+O616</f>
        <v>2510000</v>
      </c>
      <c r="J628" s="77">
        <f>+K593</f>
        <v>41646000</v>
      </c>
      <c r="K628" s="79">
        <f>+I628+J628</f>
        <v>44156000</v>
      </c>
      <c r="M628" s="124"/>
      <c r="N628" s="124"/>
      <c r="O628" s="124"/>
    </row>
    <row r="629" spans="1:15" ht="12.75" customHeight="1" x14ac:dyDescent="0.25">
      <c r="A629" s="80">
        <v>721</v>
      </c>
      <c r="B629" s="81" t="e">
        <f>+#REF!+#REF!+#REF!+#REF!+#REF!</f>
        <v>#REF!</v>
      </c>
      <c r="C629" s="77" t="e">
        <f>+D594</f>
        <v>#REF!</v>
      </c>
      <c r="D629" s="79" t="e">
        <f>+B629+C629</f>
        <v>#REF!</v>
      </c>
      <c r="H629" s="80">
        <v>721</v>
      </c>
      <c r="I629" s="81">
        <v>878500</v>
      </c>
      <c r="J629" s="77">
        <f>+K594</f>
        <v>8160500</v>
      </c>
      <c r="K629" s="79">
        <f>+I629+J629</f>
        <v>9039000</v>
      </c>
      <c r="M629" s="124"/>
      <c r="N629" s="124"/>
      <c r="O629" s="124"/>
    </row>
    <row r="630" spans="1:15" ht="12" customHeight="1" x14ac:dyDescent="0.25">
      <c r="A630" s="80">
        <v>722</v>
      </c>
      <c r="B630" s="81"/>
      <c r="C630" s="77" t="e">
        <f>+D595</f>
        <v>#REF!</v>
      </c>
      <c r="D630" s="79" t="e">
        <f>+B630+C630</f>
        <v>#REF!</v>
      </c>
      <c r="H630" s="80">
        <v>722</v>
      </c>
      <c r="I630" s="81"/>
      <c r="J630" s="77">
        <f>+K595</f>
        <v>0</v>
      </c>
      <c r="K630" s="79">
        <f>+I630+J630</f>
        <v>0</v>
      </c>
      <c r="M630" s="124"/>
      <c r="N630" s="124"/>
      <c r="O630" s="124"/>
    </row>
    <row r="631" spans="1:15" ht="13.5" customHeight="1" thickBot="1" x14ac:dyDescent="0.3">
      <c r="A631" s="80">
        <v>723</v>
      </c>
      <c r="B631" s="81"/>
      <c r="C631" s="77" t="e">
        <f>+D596</f>
        <v>#REF!</v>
      </c>
      <c r="D631" s="79" t="e">
        <f>+B631+C631</f>
        <v>#REF!</v>
      </c>
      <c r="F631" s="109" t="s">
        <v>304</v>
      </c>
      <c r="G631" s="84"/>
      <c r="H631" s="80">
        <v>723</v>
      </c>
      <c r="I631" s="81"/>
      <c r="J631" s="77">
        <v>295732986</v>
      </c>
      <c r="K631" s="79">
        <f>+I631+J631</f>
        <v>295732986</v>
      </c>
      <c r="M631" s="343" t="s">
        <v>255</v>
      </c>
      <c r="N631" s="275"/>
      <c r="O631" s="275"/>
    </row>
    <row r="632" spans="1:15" ht="16.5" thickBot="1" x14ac:dyDescent="0.3">
      <c r="A632" s="90"/>
      <c r="B632" s="91" t="e">
        <f>SUM(B628:B631)</f>
        <v>#REF!</v>
      </c>
      <c r="C632" s="92" t="e">
        <f>SUM(C628:C631)</f>
        <v>#REF!</v>
      </c>
      <c r="D632" s="93" t="e">
        <f>SUM(D628:D631)</f>
        <v>#REF!</v>
      </c>
      <c r="H632" s="90"/>
      <c r="I632" s="94">
        <f>SUM(I628:I631)</f>
        <v>3388500</v>
      </c>
      <c r="J632" s="94">
        <f>SUM(J628:J631)</f>
        <v>345539486</v>
      </c>
      <c r="K632" s="95">
        <f>SUM(K628:K631)</f>
        <v>348927986</v>
      </c>
    </row>
    <row r="633" spans="1:15" ht="16.5" x14ac:dyDescent="0.25">
      <c r="A633" s="39" t="s">
        <v>46</v>
      </c>
      <c r="B633" s="40"/>
      <c r="H633" s="39" t="s">
        <v>46</v>
      </c>
      <c r="I633" s="40"/>
    </row>
    <row r="634" spans="1:15" ht="12.75" customHeight="1" x14ac:dyDescent="0.25">
      <c r="A634" s="41" t="s">
        <v>47</v>
      </c>
      <c r="H634" s="41" t="s">
        <v>47</v>
      </c>
    </row>
    <row r="635" spans="1:15" ht="13.5" customHeight="1" x14ac:dyDescent="0.25">
      <c r="A635" s="41" t="s">
        <v>48</v>
      </c>
      <c r="H635" s="41" t="s">
        <v>48</v>
      </c>
    </row>
    <row r="636" spans="1:15" ht="12.75" customHeight="1" x14ac:dyDescent="0.25">
      <c r="A636" s="41" t="s">
        <v>49</v>
      </c>
      <c r="H636" s="41" t="s">
        <v>49</v>
      </c>
    </row>
    <row r="637" spans="1:15" ht="6" customHeight="1" x14ac:dyDescent="0.25">
      <c r="A637" s="40"/>
      <c r="B637" s="40"/>
      <c r="H637" s="40"/>
      <c r="I637" s="40"/>
    </row>
    <row r="638" spans="1:15" ht="13.5" customHeight="1" x14ac:dyDescent="0.25">
      <c r="A638" s="45" t="s">
        <v>392</v>
      </c>
      <c r="G638" s="45"/>
      <c r="H638" s="45" t="s">
        <v>393</v>
      </c>
      <c r="N638" s="45"/>
    </row>
    <row r="639" spans="1:15" ht="14.25" customHeight="1" x14ac:dyDescent="0.25">
      <c r="A639" s="47" t="s">
        <v>52</v>
      </c>
      <c r="G639" s="47"/>
      <c r="H639" s="47" t="s">
        <v>394</v>
      </c>
      <c r="N639" s="47"/>
    </row>
    <row r="640" spans="1:15" ht="15" customHeight="1" x14ac:dyDescent="0.25">
      <c r="A640" s="326" t="s">
        <v>395</v>
      </c>
      <c r="B640" s="326"/>
      <c r="C640" s="326"/>
      <c r="D640" s="326"/>
      <c r="E640" s="326"/>
      <c r="F640" s="326"/>
      <c r="G640" s="326"/>
      <c r="H640" s="326" t="s">
        <v>396</v>
      </c>
      <c r="I640" s="326"/>
      <c r="J640" s="326"/>
      <c r="K640" s="326"/>
      <c r="L640" s="326"/>
      <c r="M640" s="326"/>
      <c r="N640" s="326"/>
      <c r="O640" s="326"/>
    </row>
    <row r="641" spans="1:15" ht="6" customHeight="1" thickBot="1" x14ac:dyDescent="0.3"/>
    <row r="642" spans="1:15" x14ac:dyDescent="0.25">
      <c r="A642" s="327" t="s">
        <v>56</v>
      </c>
      <c r="B642" s="322" t="s">
        <v>57</v>
      </c>
      <c r="C642" s="322" t="s">
        <v>58</v>
      </c>
      <c r="D642" s="322" t="s">
        <v>7</v>
      </c>
      <c r="E642" s="322" t="s">
        <v>59</v>
      </c>
      <c r="F642" s="322" t="s">
        <v>60</v>
      </c>
      <c r="G642" s="50" t="s">
        <v>61</v>
      </c>
      <c r="H642" s="327" t="s">
        <v>56</v>
      </c>
      <c r="I642" s="322" t="s">
        <v>57</v>
      </c>
      <c r="J642" s="322" t="s">
        <v>58</v>
      </c>
      <c r="K642" s="322" t="s">
        <v>7</v>
      </c>
      <c r="L642" s="322" t="s">
        <v>59</v>
      </c>
      <c r="M642" s="322" t="s">
        <v>60</v>
      </c>
      <c r="N642" s="322" t="s">
        <v>61</v>
      </c>
      <c r="O642" s="324"/>
    </row>
    <row r="643" spans="1:15" ht="15.75" thickBot="1" x14ac:dyDescent="0.3">
      <c r="A643" s="328"/>
      <c r="B643" s="323"/>
      <c r="C643" s="323"/>
      <c r="D643" s="323"/>
      <c r="E643" s="323"/>
      <c r="F643" s="323"/>
      <c r="G643" s="51" t="s">
        <v>62</v>
      </c>
      <c r="H643" s="328"/>
      <c r="I643" s="323"/>
      <c r="J643" s="323"/>
      <c r="K643" s="323"/>
      <c r="L643" s="323"/>
      <c r="M643" s="323"/>
      <c r="N643" s="51" t="s">
        <v>62</v>
      </c>
      <c r="O643" s="52" t="s">
        <v>63</v>
      </c>
    </row>
    <row r="644" spans="1:15" ht="12.75" customHeight="1" x14ac:dyDescent="0.25">
      <c r="A644" s="318" t="e">
        <f>+#REF!+1</f>
        <v>#REF!</v>
      </c>
      <c r="B644" s="312">
        <v>42293</v>
      </c>
      <c r="C644" s="314" t="s">
        <v>397</v>
      </c>
      <c r="D644" s="314" t="s">
        <v>398</v>
      </c>
      <c r="E644" s="318" t="s">
        <v>186</v>
      </c>
      <c r="F644" s="320">
        <v>20276705</v>
      </c>
      <c r="G644" s="53">
        <v>719</v>
      </c>
      <c r="H644" s="310" t="s">
        <v>399</v>
      </c>
      <c r="I644" s="312">
        <v>45509</v>
      </c>
      <c r="J644" s="314" t="s">
        <v>68</v>
      </c>
      <c r="K644" s="318" t="s">
        <v>400</v>
      </c>
      <c r="L644" s="318" t="s">
        <v>5</v>
      </c>
      <c r="M644" s="320">
        <v>675000</v>
      </c>
      <c r="N644" s="53">
        <v>719</v>
      </c>
      <c r="O644" s="114">
        <v>500000</v>
      </c>
    </row>
    <row r="645" spans="1:15" ht="14.25" customHeight="1" thickBot="1" x14ac:dyDescent="0.3">
      <c r="A645" s="319"/>
      <c r="B645" s="313"/>
      <c r="C645" s="315"/>
      <c r="D645" s="315"/>
      <c r="E645" s="319"/>
      <c r="F645" s="321"/>
      <c r="G645" s="55">
        <v>721</v>
      </c>
      <c r="H645" s="319"/>
      <c r="I645" s="313"/>
      <c r="J645" s="315"/>
      <c r="K645" s="319"/>
      <c r="L645" s="319"/>
      <c r="M645" s="321"/>
      <c r="N645" s="55">
        <v>721</v>
      </c>
      <c r="O645" s="56">
        <f>+M644-O644</f>
        <v>175000</v>
      </c>
    </row>
    <row r="646" spans="1:15" ht="14.25" customHeight="1" x14ac:dyDescent="0.25">
      <c r="A646" s="57"/>
      <c r="B646" s="58"/>
      <c r="C646" s="103"/>
      <c r="D646" s="103"/>
      <c r="E646" s="57"/>
      <c r="F646" s="60"/>
      <c r="G646" s="61"/>
      <c r="H646" s="310" t="s">
        <v>401</v>
      </c>
      <c r="I646" s="312">
        <v>45509</v>
      </c>
      <c r="J646" s="314" t="s">
        <v>193</v>
      </c>
      <c r="K646" s="318" t="s">
        <v>402</v>
      </c>
      <c r="L646" s="318" t="s">
        <v>66</v>
      </c>
      <c r="M646" s="320">
        <v>1134000</v>
      </c>
      <c r="N646" s="53">
        <v>719</v>
      </c>
      <c r="O646" s="114">
        <v>840000</v>
      </c>
    </row>
    <row r="647" spans="1:15" ht="14.25" customHeight="1" thickBot="1" x14ac:dyDescent="0.3">
      <c r="A647" s="57"/>
      <c r="B647" s="58"/>
      <c r="C647" s="103"/>
      <c r="D647" s="103"/>
      <c r="E647" s="57"/>
      <c r="F647" s="60"/>
      <c r="G647" s="61"/>
      <c r="H647" s="319"/>
      <c r="I647" s="313"/>
      <c r="J647" s="315"/>
      <c r="K647" s="319"/>
      <c r="L647" s="319"/>
      <c r="M647" s="321"/>
      <c r="N647" s="55">
        <v>721</v>
      </c>
      <c r="O647" s="56">
        <f>+M646-O646</f>
        <v>294000</v>
      </c>
    </row>
    <row r="648" spans="1:15" ht="12.75" customHeight="1" x14ac:dyDescent="0.25">
      <c r="A648" s="318" t="e">
        <f>+A644+1</f>
        <v>#REF!</v>
      </c>
      <c r="B648" s="312">
        <v>42293</v>
      </c>
      <c r="C648" s="314" t="s">
        <v>403</v>
      </c>
      <c r="D648" s="314" t="s">
        <v>404</v>
      </c>
      <c r="E648" s="318" t="s">
        <v>127</v>
      </c>
      <c r="F648" s="320">
        <v>200000</v>
      </c>
      <c r="G648" s="53">
        <v>719</v>
      </c>
      <c r="H648" s="310" t="s">
        <v>405</v>
      </c>
      <c r="I648" s="312">
        <v>45509</v>
      </c>
      <c r="J648" s="314" t="s">
        <v>193</v>
      </c>
      <c r="K648" s="318" t="s">
        <v>406</v>
      </c>
      <c r="L648" s="318" t="s">
        <v>66</v>
      </c>
      <c r="M648" s="320">
        <v>945000</v>
      </c>
      <c r="N648" s="53">
        <v>719</v>
      </c>
      <c r="O648" s="114">
        <v>700000</v>
      </c>
    </row>
    <row r="649" spans="1:15" ht="13.5" customHeight="1" thickBot="1" x14ac:dyDescent="0.3">
      <c r="A649" s="319"/>
      <c r="B649" s="313"/>
      <c r="C649" s="315"/>
      <c r="D649" s="315"/>
      <c r="E649" s="319"/>
      <c r="F649" s="321"/>
      <c r="G649" s="55">
        <v>723</v>
      </c>
      <c r="H649" s="319"/>
      <c r="I649" s="313"/>
      <c r="J649" s="315"/>
      <c r="K649" s="319"/>
      <c r="L649" s="319"/>
      <c r="M649" s="321"/>
      <c r="N649" s="55">
        <v>721</v>
      </c>
      <c r="O649" s="56">
        <f>+M648-O648</f>
        <v>245000</v>
      </c>
    </row>
    <row r="650" spans="1:15" ht="12.75" customHeight="1" x14ac:dyDescent="0.25">
      <c r="A650" s="318"/>
      <c r="B650" s="312"/>
      <c r="C650" s="314"/>
      <c r="D650" s="318"/>
      <c r="E650" s="318"/>
      <c r="F650" s="320"/>
      <c r="G650" s="53">
        <v>719</v>
      </c>
      <c r="H650" s="310" t="s">
        <v>407</v>
      </c>
      <c r="I650" s="312">
        <v>45509</v>
      </c>
      <c r="J650" s="314" t="s">
        <v>188</v>
      </c>
      <c r="K650" s="318" t="s">
        <v>408</v>
      </c>
      <c r="L650" s="318" t="s">
        <v>66</v>
      </c>
      <c r="M650" s="320">
        <v>634500</v>
      </c>
      <c r="N650" s="53">
        <v>719</v>
      </c>
      <c r="O650" s="114">
        <v>470000</v>
      </c>
    </row>
    <row r="651" spans="1:15" ht="12.75" customHeight="1" thickBot="1" x14ac:dyDescent="0.3">
      <c r="A651" s="319"/>
      <c r="B651" s="313"/>
      <c r="C651" s="315"/>
      <c r="D651" s="319"/>
      <c r="E651" s="319"/>
      <c r="F651" s="321"/>
      <c r="G651" s="55">
        <v>721</v>
      </c>
      <c r="H651" s="319"/>
      <c r="I651" s="313"/>
      <c r="J651" s="315"/>
      <c r="K651" s="319"/>
      <c r="L651" s="319"/>
      <c r="M651" s="321"/>
      <c r="N651" s="55">
        <v>721</v>
      </c>
      <c r="O651" s="56">
        <f>+M650-O650</f>
        <v>164500</v>
      </c>
    </row>
    <row r="652" spans="1:15" ht="12.75" customHeight="1" x14ac:dyDescent="0.25">
      <c r="A652" s="57"/>
      <c r="B652" s="58"/>
      <c r="C652" s="103"/>
      <c r="D652" s="57"/>
      <c r="E652" s="57"/>
      <c r="F652" s="60"/>
      <c r="G652" s="61"/>
      <c r="H652" s="310" t="s">
        <v>409</v>
      </c>
      <c r="I652" s="312">
        <v>45509</v>
      </c>
      <c r="J652" s="314" t="s">
        <v>188</v>
      </c>
      <c r="K652" s="318" t="s">
        <v>410</v>
      </c>
      <c r="L652" s="318" t="s">
        <v>66</v>
      </c>
      <c r="M652" s="320">
        <v>769500</v>
      </c>
      <c r="N652" s="53">
        <v>719</v>
      </c>
      <c r="O652" s="114">
        <v>570000</v>
      </c>
    </row>
    <row r="653" spans="1:15" ht="15" customHeight="1" thickBot="1" x14ac:dyDescent="0.3">
      <c r="A653" s="57"/>
      <c r="B653" s="58"/>
      <c r="C653" s="103"/>
      <c r="D653" s="57"/>
      <c r="E653" s="57"/>
      <c r="F653" s="60"/>
      <c r="G653" s="61"/>
      <c r="H653" s="319"/>
      <c r="I653" s="313"/>
      <c r="J653" s="315"/>
      <c r="K653" s="319"/>
      <c r="L653" s="319"/>
      <c r="M653" s="321"/>
      <c r="N653" s="55">
        <v>721</v>
      </c>
      <c r="O653" s="56">
        <f>+M652-O652</f>
        <v>199500</v>
      </c>
    </row>
    <row r="654" spans="1:15" ht="16.5" thickBot="1" x14ac:dyDescent="0.3">
      <c r="A654" s="297" t="s">
        <v>80</v>
      </c>
      <c r="B654" s="298"/>
      <c r="C654" s="298"/>
      <c r="D654" s="298"/>
      <c r="E654" s="299"/>
      <c r="F654" s="62">
        <f>SUM(F644:F653)</f>
        <v>20476705</v>
      </c>
      <c r="H654" s="297" t="s">
        <v>80</v>
      </c>
      <c r="I654" s="298"/>
      <c r="J654" s="298"/>
      <c r="K654" s="298"/>
      <c r="L654" s="299"/>
      <c r="M654" s="62">
        <f>SUM(M644:M653)</f>
        <v>4158000</v>
      </c>
    </row>
    <row r="655" spans="1:15" ht="16.5" thickBot="1" x14ac:dyDescent="0.3">
      <c r="A655" s="300" t="s">
        <v>81</v>
      </c>
      <c r="B655" s="301"/>
      <c r="C655" s="301"/>
      <c r="D655" s="301"/>
      <c r="E655" s="302"/>
      <c r="F655" s="63" t="e">
        <f>+F620</f>
        <v>#REF!</v>
      </c>
      <c r="H655" s="300" t="s">
        <v>81</v>
      </c>
      <c r="I655" s="301"/>
      <c r="J655" s="301"/>
      <c r="K655" s="301"/>
      <c r="L655" s="302"/>
      <c r="M655" s="106">
        <f>+M620</f>
        <v>348927986</v>
      </c>
      <c r="N655" s="64" t="s">
        <v>82</v>
      </c>
      <c r="O655" s="65">
        <f>814+792+1512+2044+381</f>
        <v>5543</v>
      </c>
    </row>
    <row r="656" spans="1:15" ht="16.5" thickBot="1" x14ac:dyDescent="0.3">
      <c r="A656" s="303" t="s">
        <v>83</v>
      </c>
      <c r="B656" s="304"/>
      <c r="C656" s="304"/>
      <c r="D656" s="304"/>
      <c r="E656" s="305"/>
      <c r="F656" s="66" t="e">
        <f>SUM(F654:F655)</f>
        <v>#REF!</v>
      </c>
      <c r="H656" s="303" t="s">
        <v>83</v>
      </c>
      <c r="I656" s="304"/>
      <c r="J656" s="304"/>
      <c r="K656" s="304"/>
      <c r="L656" s="305"/>
      <c r="M656" s="66">
        <f>SUM(M654:M655)</f>
        <v>353085986</v>
      </c>
    </row>
    <row r="657" spans="1:15" ht="7.5" customHeight="1" x14ac:dyDescent="0.25">
      <c r="A657" s="67"/>
      <c r="B657" s="67"/>
      <c r="C657" s="67"/>
      <c r="D657" s="67"/>
      <c r="E657" s="67"/>
      <c r="H657" s="67"/>
      <c r="I657" s="67"/>
      <c r="J657" s="67"/>
      <c r="K657" s="67"/>
      <c r="L657" s="67"/>
    </row>
    <row r="658" spans="1:15" x14ac:dyDescent="0.25">
      <c r="A658" s="41" t="s">
        <v>411</v>
      </c>
      <c r="H658" s="41" t="s">
        <v>412</v>
      </c>
    </row>
    <row r="659" spans="1:15" ht="5.25" customHeight="1" x14ac:dyDescent="0.25">
      <c r="F659" s="68"/>
      <c r="M659" s="68"/>
    </row>
    <row r="660" spans="1:15" x14ac:dyDescent="0.25">
      <c r="A660" s="40" t="s">
        <v>86</v>
      </c>
      <c r="D660" s="69"/>
      <c r="F660" s="68"/>
      <c r="H660" s="40" t="s">
        <v>86</v>
      </c>
      <c r="K660" s="69"/>
      <c r="M660" s="68"/>
    </row>
    <row r="661" spans="1:15" ht="5.25" customHeight="1" thickBot="1" x14ac:dyDescent="0.3"/>
    <row r="662" spans="1:15" ht="15.75" thickBot="1" x14ac:dyDescent="0.3">
      <c r="A662" s="306" t="s">
        <v>87</v>
      </c>
      <c r="B662" s="307"/>
      <c r="C662" s="307"/>
      <c r="D662" s="308"/>
      <c r="F662" s="40" t="s">
        <v>237</v>
      </c>
      <c r="H662" s="306" t="s">
        <v>87</v>
      </c>
      <c r="I662" s="307"/>
      <c r="J662" s="307"/>
      <c r="K662" s="308"/>
    </row>
    <row r="663" spans="1:15" ht="42.75" customHeight="1" thickBot="1" x14ac:dyDescent="0.3">
      <c r="A663" s="70" t="s">
        <v>62</v>
      </c>
      <c r="B663" s="71" t="s">
        <v>90</v>
      </c>
      <c r="C663" s="72" t="s">
        <v>91</v>
      </c>
      <c r="D663" s="73" t="s">
        <v>92</v>
      </c>
      <c r="H663" s="70" t="s">
        <v>62</v>
      </c>
      <c r="I663" s="71" t="s">
        <v>90</v>
      </c>
      <c r="J663" s="72" t="s">
        <v>91</v>
      </c>
      <c r="K663" s="73" t="s">
        <v>92</v>
      </c>
      <c r="M663" s="357" t="s">
        <v>89</v>
      </c>
      <c r="N663" s="357"/>
      <c r="O663" s="357"/>
    </row>
    <row r="664" spans="1:15" ht="13.5" customHeight="1" x14ac:dyDescent="0.25">
      <c r="A664" s="75">
        <v>719</v>
      </c>
      <c r="B664" s="76" t="e">
        <f>+#REF!+#REF!+#REF!+#REF!+#REF!</f>
        <v>#REF!</v>
      </c>
      <c r="C664" s="77" t="e">
        <f>+D628</f>
        <v>#REF!</v>
      </c>
      <c r="D664" s="79" t="e">
        <f>+B664+C664</f>
        <v>#REF!</v>
      </c>
      <c r="H664" s="75">
        <v>719</v>
      </c>
      <c r="I664" s="76">
        <f>+O644+O646+O648+O650+O652</f>
        <v>3080000</v>
      </c>
      <c r="J664" s="77">
        <f>+K628</f>
        <v>44156000</v>
      </c>
      <c r="K664" s="79">
        <f>+I664+J664</f>
        <v>47236000</v>
      </c>
      <c r="M664" s="124"/>
      <c r="N664" s="124"/>
      <c r="O664" s="124"/>
    </row>
    <row r="665" spans="1:15" ht="12.75" customHeight="1" x14ac:dyDescent="0.25">
      <c r="A665" s="80">
        <v>721</v>
      </c>
      <c r="B665" s="81" t="e">
        <f>+#REF!</f>
        <v>#REF!</v>
      </c>
      <c r="C665" s="77" t="e">
        <f>+D629</f>
        <v>#REF!</v>
      </c>
      <c r="D665" s="79" t="e">
        <f>+B665+C665</f>
        <v>#REF!</v>
      </c>
      <c r="H665" s="80">
        <v>721</v>
      </c>
      <c r="I665" s="81">
        <f>+O645+O647+O649+O651+O653</f>
        <v>1078000</v>
      </c>
      <c r="J665" s="77">
        <f>+K629</f>
        <v>9039000</v>
      </c>
      <c r="K665" s="79">
        <f>+I665+J665</f>
        <v>10117000</v>
      </c>
      <c r="M665" s="124"/>
      <c r="N665" s="124"/>
      <c r="O665" s="124"/>
    </row>
    <row r="666" spans="1:15" ht="11.25" customHeight="1" x14ac:dyDescent="0.25">
      <c r="A666" s="80">
        <v>722</v>
      </c>
      <c r="B666" s="81"/>
      <c r="C666" s="77" t="e">
        <f>+D630</f>
        <v>#REF!</v>
      </c>
      <c r="D666" s="79" t="e">
        <f>+B666+C666</f>
        <v>#REF!</v>
      </c>
      <c r="H666" s="80">
        <v>722</v>
      </c>
      <c r="I666" s="81"/>
      <c r="J666" s="77">
        <f>+K630</f>
        <v>0</v>
      </c>
      <c r="K666" s="79">
        <f>+I666+J666</f>
        <v>0</v>
      </c>
      <c r="M666" s="124"/>
      <c r="N666" s="124"/>
      <c r="O666" s="124"/>
    </row>
    <row r="667" spans="1:15" ht="15" customHeight="1" thickBot="1" x14ac:dyDescent="0.3">
      <c r="A667" s="80">
        <v>723</v>
      </c>
      <c r="B667" s="81" t="e">
        <f>+#REF!</f>
        <v>#REF!</v>
      </c>
      <c r="C667" s="77" t="e">
        <f>+D631</f>
        <v>#REF!</v>
      </c>
      <c r="D667" s="79" t="e">
        <f>+B667+C667</f>
        <v>#REF!</v>
      </c>
      <c r="F667" s="109" t="s">
        <v>413</v>
      </c>
      <c r="G667" s="84"/>
      <c r="H667" s="80">
        <v>723</v>
      </c>
      <c r="I667" s="81"/>
      <c r="J667" s="77">
        <f>+K631</f>
        <v>295732986</v>
      </c>
      <c r="K667" s="79">
        <f>+I667+J667</f>
        <v>295732986</v>
      </c>
      <c r="M667" s="343"/>
      <c r="N667" s="275"/>
      <c r="O667" s="275"/>
    </row>
    <row r="668" spans="1:15" ht="16.5" hidden="1" thickBot="1" x14ac:dyDescent="0.3">
      <c r="A668" s="85" t="s">
        <v>94</v>
      </c>
      <c r="B668" s="86"/>
      <c r="C668" s="77" t="e">
        <f>+#REF!</f>
        <v>#REF!</v>
      </c>
      <c r="D668" s="89" t="e">
        <f>+B668+C668</f>
        <v>#REF!</v>
      </c>
      <c r="F668" s="45"/>
      <c r="H668" s="85" t="s">
        <v>94</v>
      </c>
      <c r="I668" s="86"/>
      <c r="J668" s="77" t="e">
        <f>+#REF!</f>
        <v>#REF!</v>
      </c>
      <c r="K668" s="79" t="e">
        <f>+I668+J668</f>
        <v>#REF!</v>
      </c>
      <c r="M668" s="343" t="s">
        <v>414</v>
      </c>
      <c r="N668" s="275"/>
      <c r="O668" s="275"/>
    </row>
    <row r="669" spans="1:15" ht="16.5" thickBot="1" x14ac:dyDescent="0.3">
      <c r="A669" s="90"/>
      <c r="B669" s="91" t="e">
        <f>SUM(B664:B668)</f>
        <v>#REF!</v>
      </c>
      <c r="C669" s="92" t="e">
        <f>SUM(C664:C668)</f>
        <v>#REF!</v>
      </c>
      <c r="D669" s="93" t="e">
        <f>SUM(D664:D668)</f>
        <v>#REF!</v>
      </c>
      <c r="H669" s="90"/>
      <c r="I669" s="94">
        <f>SUM(I664:I668)</f>
        <v>4158000</v>
      </c>
      <c r="J669" s="94" t="e">
        <f>SUM(J664:J668)</f>
        <v>#REF!</v>
      </c>
      <c r="K669" s="95" t="e">
        <f>SUM(K664:K668)</f>
        <v>#REF!</v>
      </c>
    </row>
    <row r="670" spans="1:15" ht="16.5" x14ac:dyDescent="0.25">
      <c r="A670" s="39" t="s">
        <v>46</v>
      </c>
      <c r="B670" s="40"/>
      <c r="H670" s="39" t="s">
        <v>46</v>
      </c>
      <c r="I670" s="40"/>
    </row>
    <row r="671" spans="1:15" ht="13.5" customHeight="1" x14ac:dyDescent="0.25">
      <c r="A671" s="41" t="s">
        <v>47</v>
      </c>
      <c r="H671" s="41" t="s">
        <v>47</v>
      </c>
    </row>
    <row r="672" spans="1:15" ht="13.5" customHeight="1" x14ac:dyDescent="0.25">
      <c r="A672" s="41" t="s">
        <v>48</v>
      </c>
      <c r="H672" s="41" t="s">
        <v>48</v>
      </c>
    </row>
    <row r="673" spans="1:16" ht="14.25" customHeight="1" x14ac:dyDescent="0.25">
      <c r="A673" s="41" t="s">
        <v>49</v>
      </c>
      <c r="H673" s="41" t="s">
        <v>49</v>
      </c>
    </row>
    <row r="674" spans="1:16" ht="7.5" customHeight="1" x14ac:dyDescent="0.25">
      <c r="A674" s="40"/>
      <c r="B674" s="40"/>
      <c r="H674" s="40"/>
      <c r="I674" s="40"/>
    </row>
    <row r="675" spans="1:16" ht="16.5" x14ac:dyDescent="0.25">
      <c r="A675" s="45" t="s">
        <v>415</v>
      </c>
      <c r="G675" s="45"/>
      <c r="H675" s="45" t="s">
        <v>239</v>
      </c>
      <c r="N675" s="45"/>
    </row>
    <row r="676" spans="1:16" ht="15.75" x14ac:dyDescent="0.25">
      <c r="A676" s="47" t="s">
        <v>52</v>
      </c>
      <c r="G676" s="47"/>
      <c r="H676" s="47" t="s">
        <v>394</v>
      </c>
      <c r="N676" s="47"/>
    </row>
    <row r="677" spans="1:16" ht="15" customHeight="1" x14ac:dyDescent="0.25">
      <c r="A677" s="326" t="s">
        <v>54</v>
      </c>
      <c r="B677" s="326"/>
      <c r="C677" s="326"/>
      <c r="D677" s="326"/>
      <c r="E677" s="326"/>
      <c r="F677" s="326"/>
      <c r="G677" s="326"/>
      <c r="H677" s="360" t="s">
        <v>368</v>
      </c>
      <c r="I677" s="360"/>
      <c r="J677" s="360"/>
      <c r="K677" s="360"/>
      <c r="L677" s="360"/>
      <c r="M677" s="360"/>
      <c r="N677" s="360"/>
      <c r="O677" s="360"/>
    </row>
    <row r="678" spans="1:16" ht="7.5" customHeight="1" thickBot="1" x14ac:dyDescent="0.3"/>
    <row r="679" spans="1:16" x14ac:dyDescent="0.25">
      <c r="A679" s="327" t="s">
        <v>56</v>
      </c>
      <c r="B679" s="322" t="s">
        <v>57</v>
      </c>
      <c r="C679" s="322" t="s">
        <v>58</v>
      </c>
      <c r="D679" s="322" t="s">
        <v>7</v>
      </c>
      <c r="E679" s="322" t="s">
        <v>59</v>
      </c>
      <c r="F679" s="322" t="s">
        <v>60</v>
      </c>
      <c r="G679" s="50" t="s">
        <v>61</v>
      </c>
      <c r="H679" s="327" t="s">
        <v>56</v>
      </c>
      <c r="I679" s="322" t="s">
        <v>57</v>
      </c>
      <c r="J679" s="322" t="s">
        <v>58</v>
      </c>
      <c r="K679" s="322" t="s">
        <v>7</v>
      </c>
      <c r="L679" s="322" t="s">
        <v>59</v>
      </c>
      <c r="M679" s="322" t="s">
        <v>60</v>
      </c>
      <c r="N679" s="322" t="s">
        <v>61</v>
      </c>
      <c r="O679" s="324"/>
    </row>
    <row r="680" spans="1:16" ht="15.75" thickBot="1" x14ac:dyDescent="0.3">
      <c r="A680" s="328"/>
      <c r="B680" s="323"/>
      <c r="C680" s="323"/>
      <c r="D680" s="323"/>
      <c r="E680" s="323"/>
      <c r="F680" s="323"/>
      <c r="G680" s="51" t="s">
        <v>62</v>
      </c>
      <c r="H680" s="328"/>
      <c r="I680" s="323"/>
      <c r="J680" s="323"/>
      <c r="K680" s="323"/>
      <c r="L680" s="323"/>
      <c r="M680" s="323"/>
      <c r="N680" s="51" t="s">
        <v>62</v>
      </c>
      <c r="O680" s="52" t="s">
        <v>63</v>
      </c>
    </row>
    <row r="681" spans="1:16" ht="14.25" customHeight="1" x14ac:dyDescent="0.25">
      <c r="A681" s="318" t="e">
        <f>+A648+1</f>
        <v>#REF!</v>
      </c>
      <c r="B681" s="312">
        <v>42296</v>
      </c>
      <c r="C681" s="314" t="s">
        <v>221</v>
      </c>
      <c r="D681" s="318" t="s">
        <v>416</v>
      </c>
      <c r="E681" s="318" t="s">
        <v>5</v>
      </c>
      <c r="F681" s="320">
        <v>154000</v>
      </c>
      <c r="G681" s="53">
        <v>719</v>
      </c>
      <c r="H681" s="310" t="s">
        <v>417</v>
      </c>
      <c r="I681" s="312">
        <v>45517</v>
      </c>
      <c r="J681" s="314" t="s">
        <v>68</v>
      </c>
      <c r="K681" s="318" t="s">
        <v>418</v>
      </c>
      <c r="L681" s="318" t="s">
        <v>5</v>
      </c>
      <c r="M681" s="320">
        <v>500000</v>
      </c>
      <c r="N681" s="53">
        <v>719</v>
      </c>
      <c r="O681" s="54">
        <v>500000</v>
      </c>
    </row>
    <row r="682" spans="1:16" ht="13.5" customHeight="1" thickBot="1" x14ac:dyDescent="0.3">
      <c r="A682" s="319"/>
      <c r="B682" s="313"/>
      <c r="C682" s="315"/>
      <c r="D682" s="319"/>
      <c r="E682" s="319"/>
      <c r="F682" s="321"/>
      <c r="G682" s="55">
        <v>721</v>
      </c>
      <c r="H682" s="319"/>
      <c r="I682" s="313"/>
      <c r="J682" s="315"/>
      <c r="K682" s="319"/>
      <c r="L682" s="319"/>
      <c r="M682" s="321"/>
      <c r="N682" s="55">
        <v>721</v>
      </c>
      <c r="O682" s="56">
        <f>+M681-O681</f>
        <v>0</v>
      </c>
      <c r="P682" s="68"/>
    </row>
    <row r="683" spans="1:16" ht="12.75" customHeight="1" x14ac:dyDescent="0.25">
      <c r="A683" s="318" t="e">
        <f>+A681+1</f>
        <v>#REF!</v>
      </c>
      <c r="B683" s="312">
        <v>42296</v>
      </c>
      <c r="C683" s="318" t="s">
        <v>70</v>
      </c>
      <c r="D683" s="318" t="s">
        <v>419</v>
      </c>
      <c r="E683" s="318" t="s">
        <v>5</v>
      </c>
      <c r="F683" s="320">
        <v>280000</v>
      </c>
      <c r="G683" s="53">
        <v>719</v>
      </c>
      <c r="H683" s="310" t="s">
        <v>420</v>
      </c>
      <c r="I683" s="312">
        <v>45517</v>
      </c>
      <c r="J683" s="314" t="s">
        <v>68</v>
      </c>
      <c r="K683" s="318" t="s">
        <v>421</v>
      </c>
      <c r="L683" s="318" t="s">
        <v>5</v>
      </c>
      <c r="M683" s="320">
        <v>520000</v>
      </c>
      <c r="N683" s="53">
        <v>719</v>
      </c>
      <c r="O683" s="54">
        <v>520000</v>
      </c>
    </row>
    <row r="684" spans="1:16" ht="12.75" customHeight="1" thickBot="1" x14ac:dyDescent="0.3">
      <c r="A684" s="319"/>
      <c r="B684" s="313"/>
      <c r="C684" s="319"/>
      <c r="D684" s="319"/>
      <c r="E684" s="319"/>
      <c r="F684" s="321"/>
      <c r="G684" s="55">
        <v>721</v>
      </c>
      <c r="H684" s="319"/>
      <c r="I684" s="313"/>
      <c r="J684" s="315"/>
      <c r="K684" s="319"/>
      <c r="L684" s="319"/>
      <c r="M684" s="321"/>
      <c r="N684" s="55">
        <v>721</v>
      </c>
      <c r="O684" s="56">
        <f>+M683-O683</f>
        <v>0</v>
      </c>
      <c r="P684" s="68"/>
    </row>
    <row r="685" spans="1:16" ht="12" customHeight="1" x14ac:dyDescent="0.25">
      <c r="A685" s="318" t="e">
        <f>+A683+1</f>
        <v>#REF!</v>
      </c>
      <c r="B685" s="312">
        <v>42296</v>
      </c>
      <c r="C685" s="314" t="s">
        <v>106</v>
      </c>
      <c r="D685" s="318" t="s">
        <v>419</v>
      </c>
      <c r="E685" s="318" t="s">
        <v>5</v>
      </c>
      <c r="F685" s="320">
        <v>98000</v>
      </c>
      <c r="G685" s="53">
        <v>719</v>
      </c>
      <c r="H685" s="310" t="s">
        <v>422</v>
      </c>
      <c r="I685" s="312">
        <v>45517</v>
      </c>
      <c r="J685" s="314" t="s">
        <v>251</v>
      </c>
      <c r="K685" s="318" t="s">
        <v>423</v>
      </c>
      <c r="L685" s="318" t="s">
        <v>283</v>
      </c>
      <c r="M685" s="320">
        <v>840000</v>
      </c>
      <c r="N685" s="53">
        <v>719</v>
      </c>
      <c r="O685" s="54">
        <v>840000</v>
      </c>
    </row>
    <row r="686" spans="1:16" ht="14.25" customHeight="1" thickBot="1" x14ac:dyDescent="0.3">
      <c r="A686" s="319"/>
      <c r="B686" s="313"/>
      <c r="C686" s="315"/>
      <c r="D686" s="319"/>
      <c r="E686" s="319"/>
      <c r="F686" s="321"/>
      <c r="G686" s="55">
        <v>721</v>
      </c>
      <c r="H686" s="319"/>
      <c r="I686" s="313"/>
      <c r="J686" s="315"/>
      <c r="K686" s="319"/>
      <c r="L686" s="319"/>
      <c r="M686" s="321"/>
      <c r="N686" s="55">
        <v>721</v>
      </c>
      <c r="O686" s="56">
        <f>+M685-O685</f>
        <v>0</v>
      </c>
    </row>
    <row r="687" spans="1:16" ht="14.25" customHeight="1" x14ac:dyDescent="0.25">
      <c r="A687" s="57"/>
      <c r="B687" s="58"/>
      <c r="C687" s="103"/>
      <c r="D687" s="57"/>
      <c r="E687" s="57"/>
      <c r="F687" s="60"/>
      <c r="G687" s="61"/>
      <c r="H687" s="310" t="s">
        <v>424</v>
      </c>
      <c r="I687" s="312">
        <v>45517</v>
      </c>
      <c r="J687" s="314" t="s">
        <v>425</v>
      </c>
      <c r="K687" s="318" t="s">
        <v>137</v>
      </c>
      <c r="L687" s="318" t="s">
        <v>426</v>
      </c>
      <c r="M687" s="320">
        <v>480000</v>
      </c>
      <c r="N687" s="53">
        <v>719</v>
      </c>
      <c r="O687" s="54">
        <v>0</v>
      </c>
    </row>
    <row r="688" spans="1:16" ht="14.25" customHeight="1" thickBot="1" x14ac:dyDescent="0.3">
      <c r="A688" s="57"/>
      <c r="B688" s="58"/>
      <c r="C688" s="103"/>
      <c r="D688" s="57"/>
      <c r="E688" s="57"/>
      <c r="F688" s="60"/>
      <c r="G688" s="61"/>
      <c r="H688" s="319"/>
      <c r="I688" s="313"/>
      <c r="J688" s="315"/>
      <c r="K688" s="319"/>
      <c r="L688" s="319"/>
      <c r="M688" s="321"/>
      <c r="N688" s="55">
        <v>723</v>
      </c>
      <c r="O688" s="56">
        <f>+M687-O687</f>
        <v>480000</v>
      </c>
    </row>
    <row r="689" spans="1:15" ht="11.25" customHeight="1" x14ac:dyDescent="0.25">
      <c r="A689" s="318" t="e">
        <f>+#REF!+1</f>
        <v>#REF!</v>
      </c>
      <c r="B689" s="312">
        <v>42296</v>
      </c>
      <c r="C689" s="314" t="s">
        <v>297</v>
      </c>
      <c r="D689" s="318" t="s">
        <v>419</v>
      </c>
      <c r="E689" s="318" t="s">
        <v>5</v>
      </c>
      <c r="F689" s="320">
        <v>616000</v>
      </c>
      <c r="G689" s="53">
        <v>719</v>
      </c>
      <c r="H689" s="310" t="s">
        <v>242</v>
      </c>
      <c r="I689" s="312">
        <v>45517</v>
      </c>
      <c r="J689" s="314" t="s">
        <v>288</v>
      </c>
      <c r="K689" s="318" t="s">
        <v>423</v>
      </c>
      <c r="L689" s="318" t="s">
        <v>5</v>
      </c>
      <c r="M689" s="320">
        <v>1553100</v>
      </c>
      <c r="N689" s="53">
        <v>719</v>
      </c>
      <c r="O689" s="54">
        <v>0</v>
      </c>
    </row>
    <row r="690" spans="1:15" ht="15.75" customHeight="1" thickBot="1" x14ac:dyDescent="0.3">
      <c r="A690" s="319"/>
      <c r="B690" s="313"/>
      <c r="C690" s="315"/>
      <c r="D690" s="319"/>
      <c r="E690" s="319"/>
      <c r="F690" s="321"/>
      <c r="G690" s="55">
        <v>721</v>
      </c>
      <c r="H690" s="319"/>
      <c r="I690" s="313"/>
      <c r="J690" s="315"/>
      <c r="K690" s="319"/>
      <c r="L690" s="319"/>
      <c r="M690" s="321"/>
      <c r="N690" s="55">
        <v>723</v>
      </c>
      <c r="O690" s="56">
        <f>+M689-O689</f>
        <v>1553100</v>
      </c>
    </row>
    <row r="691" spans="1:15" ht="16.5" thickBot="1" x14ac:dyDescent="0.3">
      <c r="A691" s="297" t="s">
        <v>80</v>
      </c>
      <c r="B691" s="298"/>
      <c r="C691" s="298"/>
      <c r="D691" s="298"/>
      <c r="E691" s="299"/>
      <c r="F691" s="62">
        <f>SUM(F681:F690)</f>
        <v>1148000</v>
      </c>
      <c r="H691" s="297" t="s">
        <v>80</v>
      </c>
      <c r="I691" s="298"/>
      <c r="J691" s="298"/>
      <c r="K691" s="298"/>
      <c r="L691" s="299"/>
      <c r="M691" s="62">
        <f>SUM(M681:M690)</f>
        <v>3893100</v>
      </c>
    </row>
    <row r="692" spans="1:15" ht="16.5" thickBot="1" x14ac:dyDescent="0.3">
      <c r="A692" s="300" t="s">
        <v>81</v>
      </c>
      <c r="B692" s="301"/>
      <c r="C692" s="301"/>
      <c r="D692" s="301"/>
      <c r="E692" s="302"/>
      <c r="F692" s="63" t="e">
        <f>+F656</f>
        <v>#REF!</v>
      </c>
      <c r="H692" s="300" t="s">
        <v>81</v>
      </c>
      <c r="I692" s="301"/>
      <c r="J692" s="301"/>
      <c r="K692" s="301"/>
      <c r="L692" s="302"/>
      <c r="M692" s="106">
        <f>+M656</f>
        <v>353085986</v>
      </c>
      <c r="N692" s="64" t="s">
        <v>82</v>
      </c>
      <c r="O692" s="65">
        <f>747+391+385</f>
        <v>1523</v>
      </c>
    </row>
    <row r="693" spans="1:15" ht="16.5" thickBot="1" x14ac:dyDescent="0.3">
      <c r="A693" s="303" t="s">
        <v>83</v>
      </c>
      <c r="B693" s="304"/>
      <c r="C693" s="304"/>
      <c r="D693" s="304"/>
      <c r="E693" s="305"/>
      <c r="F693" s="66" t="e">
        <f>SUM(F691:F692)</f>
        <v>#REF!</v>
      </c>
      <c r="H693" s="303" t="s">
        <v>83</v>
      </c>
      <c r="I693" s="304"/>
      <c r="J693" s="304"/>
      <c r="K693" s="304"/>
      <c r="L693" s="305"/>
      <c r="M693" s="66">
        <f>SUM(M691:M692)</f>
        <v>356979086</v>
      </c>
    </row>
    <row r="694" spans="1:15" ht="8.25" customHeight="1" x14ac:dyDescent="0.25">
      <c r="A694" s="67"/>
      <c r="B694" s="67"/>
      <c r="C694" s="67"/>
      <c r="D694" s="67"/>
      <c r="E694" s="67"/>
      <c r="H694" s="67"/>
      <c r="I694" s="67"/>
      <c r="J694" s="67"/>
      <c r="K694" s="67"/>
      <c r="L694" s="67"/>
    </row>
    <row r="695" spans="1:15" x14ac:dyDescent="0.25">
      <c r="A695" s="41" t="s">
        <v>427</v>
      </c>
      <c r="H695" s="41" t="s">
        <v>428</v>
      </c>
    </row>
    <row r="696" spans="1:15" ht="6.75" customHeight="1" x14ac:dyDescent="0.25">
      <c r="F696" s="68"/>
      <c r="M696" s="68"/>
    </row>
    <row r="697" spans="1:15" x14ac:dyDescent="0.25">
      <c r="A697" s="40" t="s">
        <v>86</v>
      </c>
      <c r="D697" s="69"/>
      <c r="F697" s="68"/>
      <c r="H697" s="40" t="s">
        <v>86</v>
      </c>
      <c r="K697" s="69"/>
      <c r="M697" s="68"/>
    </row>
    <row r="698" spans="1:15" ht="9" customHeight="1" thickBot="1" x14ac:dyDescent="0.3"/>
    <row r="699" spans="1:15" ht="15.75" customHeight="1" thickBot="1" x14ac:dyDescent="0.3">
      <c r="A699" s="306" t="s">
        <v>87</v>
      </c>
      <c r="B699" s="307"/>
      <c r="C699" s="307"/>
      <c r="D699" s="308"/>
      <c r="F699" s="40" t="s">
        <v>237</v>
      </c>
      <c r="H699" s="306" t="s">
        <v>87</v>
      </c>
      <c r="I699" s="307"/>
      <c r="J699" s="307"/>
      <c r="K699" s="308"/>
      <c r="M699" s="357" t="s">
        <v>89</v>
      </c>
      <c r="N699" s="357"/>
      <c r="O699" s="357"/>
    </row>
    <row r="700" spans="1:15" ht="28.5" customHeight="1" thickBot="1" x14ac:dyDescent="0.3">
      <c r="A700" s="70" t="s">
        <v>62</v>
      </c>
      <c r="B700" s="71" t="s">
        <v>90</v>
      </c>
      <c r="C700" s="72" t="s">
        <v>91</v>
      </c>
      <c r="D700" s="73" t="s">
        <v>92</v>
      </c>
      <c r="H700" s="70" t="s">
        <v>62</v>
      </c>
      <c r="I700" s="71" t="s">
        <v>90</v>
      </c>
      <c r="J700" s="72" t="s">
        <v>91</v>
      </c>
      <c r="K700" s="73" t="s">
        <v>92</v>
      </c>
      <c r="M700" s="124"/>
      <c r="N700" s="124"/>
      <c r="O700" s="124"/>
    </row>
    <row r="701" spans="1:15" ht="14.25" customHeight="1" x14ac:dyDescent="0.25">
      <c r="A701" s="75">
        <v>719</v>
      </c>
      <c r="B701" s="76" t="e">
        <f>+#REF!+#REF!+#REF!+#REF!+#REF!</f>
        <v>#REF!</v>
      </c>
      <c r="C701" s="77" t="e">
        <f>+D664</f>
        <v>#REF!</v>
      </c>
      <c r="D701" s="79" t="e">
        <f>+B701+C701</f>
        <v>#REF!</v>
      </c>
      <c r="H701" s="75">
        <v>719</v>
      </c>
      <c r="I701" s="76">
        <f>+O681+O683+O685</f>
        <v>1860000</v>
      </c>
      <c r="J701" s="77">
        <f>+K664</f>
        <v>47236000</v>
      </c>
      <c r="K701" s="79">
        <f>+I701+J701</f>
        <v>49096000</v>
      </c>
      <c r="M701" s="124"/>
      <c r="N701" s="124"/>
      <c r="O701" s="124"/>
    </row>
    <row r="702" spans="1:15" ht="12.75" customHeight="1" x14ac:dyDescent="0.25">
      <c r="A702" s="80">
        <v>721</v>
      </c>
      <c r="B702" s="81" t="e">
        <f>+#REF!+#REF!+#REF!+#REF!+#REF!</f>
        <v>#REF!</v>
      </c>
      <c r="C702" s="77" t="e">
        <f>+D665</f>
        <v>#REF!</v>
      </c>
      <c r="D702" s="79" t="e">
        <f>+B702+C702</f>
        <v>#REF!</v>
      </c>
      <c r="H702" s="80">
        <v>721</v>
      </c>
      <c r="I702" s="81"/>
      <c r="J702" s="77">
        <f>+K665</f>
        <v>10117000</v>
      </c>
      <c r="K702" s="79">
        <f>+I702+J702</f>
        <v>10117000</v>
      </c>
      <c r="M702" s="343"/>
      <c r="N702" s="275"/>
      <c r="O702" s="275"/>
    </row>
    <row r="703" spans="1:15" ht="12.75" customHeight="1" x14ac:dyDescent="0.25">
      <c r="A703" s="80">
        <v>722</v>
      </c>
      <c r="B703" s="81"/>
      <c r="C703" s="77" t="e">
        <f>+D666</f>
        <v>#REF!</v>
      </c>
      <c r="D703" s="79" t="e">
        <f>+B703+C703</f>
        <v>#REF!</v>
      </c>
      <c r="H703" s="80">
        <v>722</v>
      </c>
      <c r="I703" s="81"/>
      <c r="J703" s="77">
        <f>+K666</f>
        <v>0</v>
      </c>
      <c r="K703" s="79">
        <f>+I703+J703</f>
        <v>0</v>
      </c>
      <c r="M703" s="124"/>
      <c r="N703" s="124"/>
      <c r="O703" s="124"/>
    </row>
    <row r="704" spans="1:15" ht="13.5" customHeight="1" thickBot="1" x14ac:dyDescent="0.3">
      <c r="A704" s="80">
        <v>723</v>
      </c>
      <c r="B704" s="81"/>
      <c r="C704" s="77" t="e">
        <f>+D667</f>
        <v>#REF!</v>
      </c>
      <c r="D704" s="79" t="e">
        <f>+B704+C704</f>
        <v>#REF!</v>
      </c>
      <c r="F704" s="109" t="s">
        <v>413</v>
      </c>
      <c r="G704" s="84"/>
      <c r="H704" s="80">
        <v>723</v>
      </c>
      <c r="I704" s="81">
        <f>+O688+O690</f>
        <v>2033100</v>
      </c>
      <c r="J704" s="77">
        <f>+K667</f>
        <v>295732986</v>
      </c>
      <c r="K704" s="79">
        <f>+I704+J704</f>
        <v>297766086</v>
      </c>
      <c r="M704" s="343"/>
      <c r="N704" s="275"/>
      <c r="O704" s="275"/>
    </row>
    <row r="705" spans="1:20" ht="12.75" hidden="1" customHeight="1" x14ac:dyDescent="0.25">
      <c r="A705" s="85" t="s">
        <v>94</v>
      </c>
      <c r="B705" s="86"/>
      <c r="C705" s="77" t="e">
        <f>+D668</f>
        <v>#REF!</v>
      </c>
      <c r="D705" s="89" t="e">
        <f>+B705+C705</f>
        <v>#REF!</v>
      </c>
      <c r="F705" s="45"/>
      <c r="H705" s="85" t="s">
        <v>94</v>
      </c>
      <c r="I705" s="86"/>
      <c r="J705" s="77" t="e">
        <f>+K668</f>
        <v>#REF!</v>
      </c>
      <c r="K705" s="89" t="e">
        <f>+I705+J705</f>
        <v>#REF!</v>
      </c>
      <c r="M705" s="45"/>
    </row>
    <row r="706" spans="1:20" ht="16.5" thickBot="1" x14ac:dyDescent="0.3">
      <c r="A706" s="90"/>
      <c r="B706" s="91" t="e">
        <f>SUM(B701:B705)</f>
        <v>#REF!</v>
      </c>
      <c r="C706" s="92" t="e">
        <f>SUM(C701:C705)</f>
        <v>#REF!</v>
      </c>
      <c r="D706" s="93" t="e">
        <f>SUM(D701:D705)</f>
        <v>#REF!</v>
      </c>
      <c r="H706" s="90"/>
      <c r="I706" s="94">
        <f>SUM(I701:I705)</f>
        <v>3893100</v>
      </c>
      <c r="J706" s="94" t="e">
        <f>SUM(J701:J705)</f>
        <v>#REF!</v>
      </c>
      <c r="K706" s="95" t="e">
        <f>SUM(K701:K705)</f>
        <v>#REF!</v>
      </c>
    </row>
    <row r="707" spans="1:20" ht="16.5" x14ac:dyDescent="0.25">
      <c r="A707" s="39" t="s">
        <v>46</v>
      </c>
      <c r="B707" s="40"/>
      <c r="H707" s="39" t="s">
        <v>46</v>
      </c>
      <c r="I707" s="40"/>
    </row>
    <row r="708" spans="1:20" x14ac:dyDescent="0.25">
      <c r="A708" s="41" t="s">
        <v>47</v>
      </c>
      <c r="H708" s="41" t="s">
        <v>47</v>
      </c>
    </row>
    <row r="709" spans="1:20" x14ac:dyDescent="0.25">
      <c r="A709" s="41" t="s">
        <v>48</v>
      </c>
      <c r="H709" s="41" t="s">
        <v>48</v>
      </c>
    </row>
    <row r="710" spans="1:20" ht="16.5" x14ac:dyDescent="0.25">
      <c r="A710" s="41" t="s">
        <v>49</v>
      </c>
      <c r="H710" s="41" t="s">
        <v>49</v>
      </c>
      <c r="T710" s="187"/>
    </row>
    <row r="711" spans="1:20" ht="4.5" customHeight="1" x14ac:dyDescent="0.25">
      <c r="A711" s="40"/>
      <c r="B711" s="40"/>
      <c r="H711" s="40"/>
      <c r="I711" s="40"/>
    </row>
    <row r="712" spans="1:20" ht="16.5" x14ac:dyDescent="0.25">
      <c r="A712" s="45" t="s">
        <v>429</v>
      </c>
      <c r="G712" s="45"/>
      <c r="H712" s="188" t="s">
        <v>257</v>
      </c>
      <c r="I712" s="189"/>
      <c r="N712" s="45"/>
    </row>
    <row r="713" spans="1:20" ht="16.5" x14ac:dyDescent="0.25">
      <c r="A713" s="47" t="s">
        <v>52</v>
      </c>
      <c r="G713" s="47"/>
      <c r="H713" s="190" t="s">
        <v>394</v>
      </c>
      <c r="I713" s="189"/>
      <c r="N713" s="47"/>
      <c r="T713" s="191"/>
    </row>
    <row r="714" spans="1:20" ht="17.25" customHeight="1" x14ac:dyDescent="0.25">
      <c r="A714" s="326" t="s">
        <v>54</v>
      </c>
      <c r="B714" s="326"/>
      <c r="C714" s="326"/>
      <c r="D714" s="326"/>
      <c r="E714" s="326"/>
      <c r="F714" s="326"/>
      <c r="G714" s="326"/>
      <c r="H714" s="326" t="s">
        <v>430</v>
      </c>
      <c r="I714" s="326"/>
      <c r="J714" s="326"/>
      <c r="K714" s="326"/>
      <c r="L714" s="326"/>
      <c r="M714" s="326"/>
      <c r="N714" s="326"/>
      <c r="O714" s="326"/>
    </row>
    <row r="715" spans="1:20" ht="8.25" customHeight="1" thickBot="1" x14ac:dyDescent="0.3"/>
    <row r="716" spans="1:20" x14ac:dyDescent="0.25">
      <c r="A716" s="327" t="s">
        <v>56</v>
      </c>
      <c r="B716" s="322" t="s">
        <v>57</v>
      </c>
      <c r="C716" s="322" t="s">
        <v>58</v>
      </c>
      <c r="D716" s="322" t="s">
        <v>7</v>
      </c>
      <c r="E716" s="322" t="s">
        <v>59</v>
      </c>
      <c r="F716" s="322" t="s">
        <v>60</v>
      </c>
      <c r="G716" s="50" t="s">
        <v>61</v>
      </c>
      <c r="H716" s="327" t="s">
        <v>56</v>
      </c>
      <c r="I716" s="322" t="s">
        <v>57</v>
      </c>
      <c r="J716" s="322" t="s">
        <v>58</v>
      </c>
      <c r="K716" s="322" t="s">
        <v>7</v>
      </c>
      <c r="L716" s="322" t="s">
        <v>59</v>
      </c>
      <c r="M716" s="322" t="s">
        <v>60</v>
      </c>
      <c r="N716" s="322" t="s">
        <v>61</v>
      </c>
      <c r="O716" s="324"/>
    </row>
    <row r="717" spans="1:20" ht="15.75" thickBot="1" x14ac:dyDescent="0.3">
      <c r="A717" s="328"/>
      <c r="B717" s="323"/>
      <c r="C717" s="323"/>
      <c r="D717" s="323"/>
      <c r="E717" s="323"/>
      <c r="F717" s="323"/>
      <c r="G717" s="51" t="s">
        <v>62</v>
      </c>
      <c r="H717" s="328"/>
      <c r="I717" s="323"/>
      <c r="J717" s="323"/>
      <c r="K717" s="323"/>
      <c r="L717" s="323"/>
      <c r="M717" s="323"/>
      <c r="N717" s="51" t="s">
        <v>62</v>
      </c>
      <c r="O717" s="52" t="s">
        <v>63</v>
      </c>
    </row>
    <row r="718" spans="1:20" ht="14.25" customHeight="1" x14ac:dyDescent="0.25">
      <c r="A718" s="318" t="e">
        <f>+A689+1</f>
        <v>#REF!</v>
      </c>
      <c r="B718" s="312">
        <v>42296</v>
      </c>
      <c r="C718" s="314" t="s">
        <v>297</v>
      </c>
      <c r="D718" s="318" t="s">
        <v>431</v>
      </c>
      <c r="E718" s="318" t="s">
        <v>66</v>
      </c>
      <c r="F718" s="320">
        <v>100000</v>
      </c>
      <c r="G718" s="53">
        <v>719</v>
      </c>
      <c r="H718" s="310" t="s">
        <v>245</v>
      </c>
      <c r="I718" s="312">
        <v>45527</v>
      </c>
      <c r="J718" s="314" t="s">
        <v>432</v>
      </c>
      <c r="K718" s="318" t="s">
        <v>433</v>
      </c>
      <c r="L718" s="318" t="s">
        <v>66</v>
      </c>
      <c r="M718" s="320">
        <v>1189600</v>
      </c>
      <c r="N718" s="53">
        <v>719</v>
      </c>
      <c r="O718" s="54">
        <v>0</v>
      </c>
    </row>
    <row r="719" spans="1:20" ht="13.5" customHeight="1" thickBot="1" x14ac:dyDescent="0.3">
      <c r="A719" s="319"/>
      <c r="B719" s="313"/>
      <c r="C719" s="315"/>
      <c r="D719" s="319"/>
      <c r="E719" s="319"/>
      <c r="F719" s="321"/>
      <c r="G719" s="55">
        <v>721</v>
      </c>
      <c r="H719" s="319"/>
      <c r="I719" s="313"/>
      <c r="J719" s="315"/>
      <c r="K719" s="319"/>
      <c r="L719" s="319"/>
      <c r="M719" s="321"/>
      <c r="N719" s="55">
        <v>723</v>
      </c>
      <c r="O719" s="56">
        <f>+M718-O718</f>
        <v>1189600</v>
      </c>
    </row>
    <row r="720" spans="1:20" ht="13.5" customHeight="1" x14ac:dyDescent="0.25">
      <c r="A720" s="318" t="e">
        <f>+A718+1</f>
        <v>#REF!</v>
      </c>
      <c r="B720" s="312">
        <v>42296</v>
      </c>
      <c r="C720" s="318" t="s">
        <v>70</v>
      </c>
      <c r="D720" s="318" t="s">
        <v>434</v>
      </c>
      <c r="E720" s="318" t="s">
        <v>66</v>
      </c>
      <c r="F720" s="320">
        <v>50000</v>
      </c>
      <c r="G720" s="53">
        <v>719</v>
      </c>
      <c r="H720" s="310" t="s">
        <v>248</v>
      </c>
      <c r="I720" s="312">
        <v>45527</v>
      </c>
      <c r="J720" s="314" t="s">
        <v>432</v>
      </c>
      <c r="K720" s="318" t="s">
        <v>137</v>
      </c>
      <c r="L720" s="318" t="s">
        <v>66</v>
      </c>
      <c r="M720" s="320">
        <v>2379200</v>
      </c>
      <c r="N720" s="53">
        <v>719</v>
      </c>
      <c r="O720" s="54">
        <v>0</v>
      </c>
    </row>
    <row r="721" spans="1:15" ht="12.75" customHeight="1" thickBot="1" x14ac:dyDescent="0.3">
      <c r="A721" s="319"/>
      <c r="B721" s="313"/>
      <c r="C721" s="319"/>
      <c r="D721" s="319"/>
      <c r="E721" s="319"/>
      <c r="F721" s="321"/>
      <c r="G721" s="55">
        <v>721</v>
      </c>
      <c r="H721" s="319"/>
      <c r="I721" s="313"/>
      <c r="J721" s="315"/>
      <c r="K721" s="319"/>
      <c r="L721" s="319"/>
      <c r="M721" s="321"/>
      <c r="N721" s="55">
        <v>723</v>
      </c>
      <c r="O721" s="56">
        <f>+M720-O720</f>
        <v>2379200</v>
      </c>
    </row>
    <row r="722" spans="1:15" ht="11.25" customHeight="1" x14ac:dyDescent="0.25">
      <c r="A722" s="57"/>
      <c r="B722" s="58"/>
      <c r="C722" s="57"/>
      <c r="D722" s="57"/>
      <c r="E722" s="57"/>
      <c r="F722" s="60"/>
      <c r="G722" s="61"/>
      <c r="H722" s="310" t="s">
        <v>435</v>
      </c>
      <c r="I722" s="312">
        <v>45527</v>
      </c>
      <c r="J722" s="335" t="s">
        <v>136</v>
      </c>
      <c r="K722" s="318" t="s">
        <v>10</v>
      </c>
      <c r="L722" s="318" t="s">
        <v>5</v>
      </c>
      <c r="M722" s="320">
        <v>-63000</v>
      </c>
      <c r="N722" s="53">
        <v>719</v>
      </c>
      <c r="O722" s="54">
        <v>0</v>
      </c>
    </row>
    <row r="723" spans="1:15" ht="12.75" customHeight="1" thickBot="1" x14ac:dyDescent="0.3">
      <c r="A723" s="57"/>
      <c r="B723" s="58"/>
      <c r="C723" s="57"/>
      <c r="D723" s="57"/>
      <c r="E723" s="57"/>
      <c r="F723" s="60"/>
      <c r="G723" s="61"/>
      <c r="H723" s="319"/>
      <c r="I723" s="313"/>
      <c r="J723" s="336"/>
      <c r="K723" s="319"/>
      <c r="L723" s="319"/>
      <c r="M723" s="321"/>
      <c r="N723" s="55">
        <v>721</v>
      </c>
      <c r="O723" s="56">
        <f>+M722-O722</f>
        <v>-63000</v>
      </c>
    </row>
    <row r="724" spans="1:15" ht="12.75" customHeight="1" x14ac:dyDescent="0.25">
      <c r="A724" s="57"/>
      <c r="B724" s="58"/>
      <c r="C724" s="57"/>
      <c r="D724" s="57"/>
      <c r="E724" s="57"/>
      <c r="F724" s="60"/>
      <c r="G724" s="61"/>
      <c r="H724" s="310" t="s">
        <v>436</v>
      </c>
      <c r="I724" s="312">
        <v>45527</v>
      </c>
      <c r="J724" s="335" t="s">
        <v>188</v>
      </c>
      <c r="K724" s="318" t="s">
        <v>137</v>
      </c>
      <c r="L724" s="318" t="s">
        <v>5</v>
      </c>
      <c r="M724" s="320">
        <v>-168000</v>
      </c>
      <c r="N724" s="53">
        <v>719</v>
      </c>
      <c r="O724" s="54">
        <v>0</v>
      </c>
    </row>
    <row r="725" spans="1:15" ht="12.75" customHeight="1" thickBot="1" x14ac:dyDescent="0.3">
      <c r="A725" s="57"/>
      <c r="B725" s="58"/>
      <c r="C725" s="57"/>
      <c r="D725" s="57"/>
      <c r="E725" s="57"/>
      <c r="F725" s="60"/>
      <c r="G725" s="61"/>
      <c r="H725" s="319"/>
      <c r="I725" s="313"/>
      <c r="J725" s="336"/>
      <c r="K725" s="319"/>
      <c r="L725" s="319"/>
      <c r="M725" s="321"/>
      <c r="N725" s="55">
        <v>721</v>
      </c>
      <c r="O725" s="56">
        <f>+M724-O724</f>
        <v>-168000</v>
      </c>
    </row>
    <row r="726" spans="1:15" ht="15" customHeight="1" x14ac:dyDescent="0.25">
      <c r="A726" s="318" t="e">
        <f>+#REF!+1</f>
        <v>#REF!</v>
      </c>
      <c r="B726" s="312">
        <v>42296</v>
      </c>
      <c r="C726" s="314" t="s">
        <v>297</v>
      </c>
      <c r="D726" s="318" t="s">
        <v>437</v>
      </c>
      <c r="E726" s="318" t="s">
        <v>66</v>
      </c>
      <c r="F726" s="320">
        <v>90000</v>
      </c>
      <c r="G726" s="53">
        <v>719</v>
      </c>
      <c r="H726" s="310" t="s">
        <v>249</v>
      </c>
      <c r="I726" s="312">
        <v>45527</v>
      </c>
      <c r="J726" s="314" t="s">
        <v>251</v>
      </c>
      <c r="K726" s="318" t="s">
        <v>423</v>
      </c>
      <c r="L726" s="318" t="s">
        <v>66</v>
      </c>
      <c r="M726" s="320">
        <v>1242000</v>
      </c>
      <c r="N726" s="53">
        <v>719</v>
      </c>
      <c r="O726" s="54">
        <v>920000</v>
      </c>
    </row>
    <row r="727" spans="1:15" ht="13.5" customHeight="1" thickBot="1" x14ac:dyDescent="0.3">
      <c r="A727" s="319"/>
      <c r="B727" s="313"/>
      <c r="C727" s="315"/>
      <c r="D727" s="319"/>
      <c r="E727" s="319"/>
      <c r="F727" s="321"/>
      <c r="G727" s="55">
        <v>721</v>
      </c>
      <c r="H727" s="319"/>
      <c r="I727" s="313"/>
      <c r="J727" s="315"/>
      <c r="K727" s="319"/>
      <c r="L727" s="319"/>
      <c r="M727" s="321"/>
      <c r="N727" s="55">
        <v>721</v>
      </c>
      <c r="O727" s="56">
        <f>+M726-O726</f>
        <v>322000</v>
      </c>
    </row>
    <row r="728" spans="1:15" ht="15" customHeight="1" thickBot="1" x14ac:dyDescent="0.3">
      <c r="A728" s="318" t="e">
        <f>+A726+1</f>
        <v>#REF!</v>
      </c>
      <c r="B728" s="312">
        <v>42296</v>
      </c>
      <c r="C728" s="318" t="s">
        <v>70</v>
      </c>
      <c r="D728" s="318" t="s">
        <v>434</v>
      </c>
      <c r="E728" s="318" t="s">
        <v>66</v>
      </c>
      <c r="F728" s="320">
        <v>50000</v>
      </c>
      <c r="G728" s="53">
        <v>719</v>
      </c>
      <c r="H728" s="297" t="s">
        <v>80</v>
      </c>
      <c r="I728" s="298"/>
      <c r="J728" s="298"/>
      <c r="K728" s="298"/>
      <c r="L728" s="299"/>
      <c r="M728" s="62">
        <f>SUM(M718:M727)</f>
        <v>4579800</v>
      </c>
    </row>
    <row r="729" spans="1:15" ht="12.75" customHeight="1" thickBot="1" x14ac:dyDescent="0.3">
      <c r="A729" s="319"/>
      <c r="B729" s="313"/>
      <c r="C729" s="319"/>
      <c r="D729" s="319"/>
      <c r="E729" s="319"/>
      <c r="F729" s="321"/>
      <c r="G729" s="55">
        <v>721</v>
      </c>
      <c r="H729" s="300" t="s">
        <v>81</v>
      </c>
      <c r="I729" s="301"/>
      <c r="J729" s="301"/>
      <c r="K729" s="301"/>
      <c r="L729" s="302"/>
      <c r="M729" s="106">
        <f>+M693</f>
        <v>356979086</v>
      </c>
      <c r="N729" s="64" t="s">
        <v>82</v>
      </c>
      <c r="O729" s="65">
        <v>2338</v>
      </c>
    </row>
    <row r="730" spans="1:15" ht="16.5" thickBot="1" x14ac:dyDescent="0.3">
      <c r="A730" s="297" t="s">
        <v>80</v>
      </c>
      <c r="B730" s="298"/>
      <c r="C730" s="298"/>
      <c r="D730" s="298"/>
      <c r="E730" s="299"/>
      <c r="F730" s="62">
        <f>SUM(F718:F729)</f>
        <v>290000</v>
      </c>
      <c r="H730" s="303" t="s">
        <v>83</v>
      </c>
      <c r="I730" s="304"/>
      <c r="J730" s="304"/>
      <c r="K730" s="304"/>
      <c r="L730" s="305"/>
      <c r="M730" s="66">
        <f>SUM(M728:M729)</f>
        <v>361558886</v>
      </c>
    </row>
    <row r="731" spans="1:15" ht="8.25" customHeight="1" thickBot="1" x14ac:dyDescent="0.3">
      <c r="A731" s="300" t="s">
        <v>81</v>
      </c>
      <c r="B731" s="301"/>
      <c r="C731" s="301"/>
      <c r="D731" s="301"/>
      <c r="E731" s="302"/>
      <c r="F731" s="63" t="e">
        <f>+F693</f>
        <v>#REF!</v>
      </c>
      <c r="H731" s="67"/>
      <c r="I731" s="67"/>
      <c r="J731" s="67"/>
      <c r="K731" s="67"/>
      <c r="L731" s="67"/>
    </row>
    <row r="732" spans="1:15" ht="18" customHeight="1" thickBot="1" x14ac:dyDescent="0.3">
      <c r="A732" s="303" t="s">
        <v>83</v>
      </c>
      <c r="B732" s="304"/>
      <c r="C732" s="304"/>
      <c r="D732" s="304"/>
      <c r="E732" s="305"/>
      <c r="F732" s="66" t="e">
        <f>SUM(F730:F731)</f>
        <v>#REF!</v>
      </c>
      <c r="H732" s="41" t="s">
        <v>438</v>
      </c>
    </row>
    <row r="733" spans="1:15" ht="6" customHeight="1" x14ac:dyDescent="0.25">
      <c r="A733" s="67"/>
      <c r="B733" s="67"/>
      <c r="C733" s="67"/>
      <c r="D733" s="67"/>
      <c r="E733" s="67"/>
      <c r="M733" s="68"/>
    </row>
    <row r="734" spans="1:15" x14ac:dyDescent="0.25">
      <c r="A734" s="41" t="s">
        <v>439</v>
      </c>
      <c r="H734" s="40" t="s">
        <v>86</v>
      </c>
      <c r="K734" s="69"/>
      <c r="M734" s="68"/>
    </row>
    <row r="735" spans="1:15" ht="6" customHeight="1" thickBot="1" x14ac:dyDescent="0.3">
      <c r="F735" s="68"/>
    </row>
    <row r="736" spans="1:15" ht="17.25" thickBot="1" x14ac:dyDescent="0.3">
      <c r="A736" s="40" t="s">
        <v>86</v>
      </c>
      <c r="D736" s="69"/>
      <c r="F736" s="68"/>
      <c r="H736" s="306" t="s">
        <v>87</v>
      </c>
      <c r="I736" s="307"/>
      <c r="J736" s="307"/>
      <c r="K736" s="308"/>
      <c r="M736" s="357" t="s">
        <v>89</v>
      </c>
      <c r="N736" s="357"/>
      <c r="O736" s="357"/>
    </row>
    <row r="737" spans="1:15" ht="26.25" customHeight="1" thickBot="1" x14ac:dyDescent="0.3">
      <c r="H737" s="70" t="s">
        <v>62</v>
      </c>
      <c r="I737" s="71" t="s">
        <v>90</v>
      </c>
      <c r="J737" s="72" t="s">
        <v>91</v>
      </c>
      <c r="K737" s="73" t="s">
        <v>92</v>
      </c>
      <c r="M737" s="124"/>
      <c r="N737" s="124"/>
      <c r="O737" s="124"/>
    </row>
    <row r="738" spans="1:15" ht="15" customHeight="1" thickBot="1" x14ac:dyDescent="0.3">
      <c r="A738" s="306" t="s">
        <v>87</v>
      </c>
      <c r="B738" s="307"/>
      <c r="C738" s="307"/>
      <c r="D738" s="308"/>
      <c r="F738" s="40" t="s">
        <v>89</v>
      </c>
      <c r="H738" s="75">
        <v>719</v>
      </c>
      <c r="I738" s="76">
        <f>+O726</f>
        <v>920000</v>
      </c>
      <c r="J738" s="77">
        <f>+K701</f>
        <v>49096000</v>
      </c>
      <c r="K738" s="79">
        <f>+I738+J738</f>
        <v>50016000</v>
      </c>
      <c r="M738" s="124"/>
      <c r="N738" s="124"/>
      <c r="O738" s="124"/>
    </row>
    <row r="739" spans="1:15" ht="14.25" customHeight="1" thickBot="1" x14ac:dyDescent="0.3">
      <c r="A739" s="70" t="s">
        <v>62</v>
      </c>
      <c r="B739" s="71" t="s">
        <v>90</v>
      </c>
      <c r="C739" s="72" t="s">
        <v>91</v>
      </c>
      <c r="D739" s="73" t="s">
        <v>92</v>
      </c>
      <c r="H739" s="80">
        <v>721</v>
      </c>
      <c r="I739" s="192">
        <f>+O727+O725+O723</f>
        <v>91000</v>
      </c>
      <c r="J739" s="77">
        <f>+K702</f>
        <v>10117000</v>
      </c>
      <c r="K739" s="79">
        <f>+I739+J739</f>
        <v>10208000</v>
      </c>
      <c r="M739" s="124"/>
      <c r="N739" s="124"/>
      <c r="O739" s="124"/>
    </row>
    <row r="740" spans="1:15" ht="12" customHeight="1" x14ac:dyDescent="0.25">
      <c r="A740" s="75">
        <v>719</v>
      </c>
      <c r="B740" s="76" t="e">
        <f>+#REF!+#REF!+#REF!+#REF!+#REF!+#REF!</f>
        <v>#REF!</v>
      </c>
      <c r="C740" s="77" t="e">
        <f>+D701</f>
        <v>#REF!</v>
      </c>
      <c r="D740" s="79" t="e">
        <f>+B740+C740</f>
        <v>#REF!</v>
      </c>
      <c r="H740" s="80">
        <v>722</v>
      </c>
      <c r="I740" s="192"/>
      <c r="J740" s="77">
        <f>+K703</f>
        <v>0</v>
      </c>
      <c r="K740" s="79">
        <f>+I740+J740</f>
        <v>0</v>
      </c>
      <c r="M740" s="124"/>
      <c r="N740" s="124"/>
      <c r="O740" s="124"/>
    </row>
    <row r="741" spans="1:15" ht="14.25" customHeight="1" thickBot="1" x14ac:dyDescent="0.3">
      <c r="A741" s="80">
        <v>721</v>
      </c>
      <c r="B741" s="81" t="e">
        <f>+#REF!</f>
        <v>#REF!</v>
      </c>
      <c r="C741" s="77" t="e">
        <f>+D702</f>
        <v>#REF!</v>
      </c>
      <c r="D741" s="79" t="e">
        <f>+B741+C741</f>
        <v>#REF!</v>
      </c>
      <c r="H741" s="80">
        <v>723</v>
      </c>
      <c r="I741" s="192">
        <f>+O719+O721</f>
        <v>3568800</v>
      </c>
      <c r="J741" s="77">
        <f>+K704</f>
        <v>297766086</v>
      </c>
      <c r="K741" s="79">
        <f>+I741+J741</f>
        <v>301334886</v>
      </c>
      <c r="M741" s="343"/>
      <c r="N741" s="275"/>
      <c r="O741" s="275"/>
    </row>
    <row r="742" spans="1:15" ht="15" hidden="1" customHeight="1" x14ac:dyDescent="0.25">
      <c r="A742" s="80">
        <v>722</v>
      </c>
      <c r="B742" s="81"/>
      <c r="C742" s="77" t="e">
        <f>+D703</f>
        <v>#REF!</v>
      </c>
      <c r="D742" s="79" t="e">
        <f>+B742+C742</f>
        <v>#REF!</v>
      </c>
      <c r="H742" s="85" t="s">
        <v>94</v>
      </c>
      <c r="I742" s="86"/>
      <c r="J742" s="77" t="e">
        <f>+K705</f>
        <v>#REF!</v>
      </c>
      <c r="K742" s="89" t="e">
        <f>+I742+J742</f>
        <v>#REF!</v>
      </c>
      <c r="M742" s="45"/>
    </row>
    <row r="743" spans="1:15" ht="16.5" thickBot="1" x14ac:dyDescent="0.3">
      <c r="A743" s="80">
        <v>723</v>
      </c>
      <c r="B743" s="81" t="e">
        <f>+#REF!</f>
        <v>#REF!</v>
      </c>
      <c r="C743" s="77" t="e">
        <f>+D704</f>
        <v>#REF!</v>
      </c>
      <c r="D743" s="79" t="e">
        <f>+B743+C743</f>
        <v>#REF!</v>
      </c>
      <c r="F743" s="109" t="s">
        <v>93</v>
      </c>
      <c r="G743" s="84"/>
      <c r="H743" s="90"/>
      <c r="I743" s="94">
        <f>SUM(I738:I742)</f>
        <v>4579800</v>
      </c>
      <c r="J743" s="94" t="e">
        <f>SUM(J738:J742)</f>
        <v>#REF!</v>
      </c>
      <c r="K743" s="95" t="e">
        <f>SUM(K738:K742)</f>
        <v>#REF!</v>
      </c>
    </row>
    <row r="744" spans="1:15" ht="17.25" thickBot="1" x14ac:dyDescent="0.3">
      <c r="A744" s="85" t="s">
        <v>94</v>
      </c>
      <c r="B744" s="86"/>
      <c r="C744" s="77" t="e">
        <f>+D705</f>
        <v>#REF!</v>
      </c>
      <c r="D744" s="89" t="e">
        <f>+B744+C744</f>
        <v>#REF!</v>
      </c>
      <c r="F744" s="45"/>
      <c r="H744" s="39" t="s">
        <v>46</v>
      </c>
      <c r="I744" s="40"/>
    </row>
    <row r="745" spans="1:15" ht="15" customHeight="1" thickBot="1" x14ac:dyDescent="0.3">
      <c r="A745" s="90"/>
      <c r="B745" s="91" t="e">
        <f>SUM(B740:B744)</f>
        <v>#REF!</v>
      </c>
      <c r="C745" s="92" t="e">
        <f>SUM(C740:C744)</f>
        <v>#REF!</v>
      </c>
      <c r="D745" s="93" t="e">
        <f>SUM(D740:D744)</f>
        <v>#REF!</v>
      </c>
      <c r="H745" s="41" t="s">
        <v>47</v>
      </c>
      <c r="K745" s="68"/>
    </row>
    <row r="746" spans="1:15" ht="13.5" customHeight="1" x14ac:dyDescent="0.25">
      <c r="A746" s="39" t="s">
        <v>46</v>
      </c>
      <c r="B746" s="40"/>
      <c r="H746" s="41" t="s">
        <v>48</v>
      </c>
    </row>
    <row r="747" spans="1:15" ht="13.5" customHeight="1" x14ac:dyDescent="0.25">
      <c r="A747" s="41" t="s">
        <v>47</v>
      </c>
      <c r="H747" s="41" t="s">
        <v>49</v>
      </c>
    </row>
    <row r="748" spans="1:15" ht="3" customHeight="1" x14ac:dyDescent="0.25">
      <c r="A748" s="41" t="s">
        <v>48</v>
      </c>
      <c r="H748" s="40"/>
      <c r="I748" s="40"/>
    </row>
    <row r="749" spans="1:15" ht="16.5" x14ac:dyDescent="0.25">
      <c r="A749" s="41" t="s">
        <v>49</v>
      </c>
      <c r="H749" s="188" t="s">
        <v>277</v>
      </c>
      <c r="I749" s="189"/>
      <c r="N749" s="45"/>
    </row>
    <row r="750" spans="1:15" ht="15.75" customHeight="1" x14ac:dyDescent="0.25">
      <c r="A750" s="40"/>
      <c r="B750" s="40"/>
      <c r="H750" s="190" t="s">
        <v>394</v>
      </c>
      <c r="I750" s="189"/>
      <c r="N750" s="47"/>
    </row>
    <row r="751" spans="1:15" ht="14.25" customHeight="1" x14ac:dyDescent="0.25">
      <c r="A751" s="45" t="s">
        <v>440</v>
      </c>
      <c r="G751" s="45"/>
      <c r="H751" s="326" t="s">
        <v>441</v>
      </c>
      <c r="I751" s="326"/>
      <c r="J751" s="326"/>
      <c r="K751" s="326"/>
      <c r="L751" s="326"/>
      <c r="M751" s="326"/>
      <c r="N751" s="326"/>
      <c r="O751" s="326"/>
    </row>
    <row r="752" spans="1:15" ht="9.75" customHeight="1" thickBot="1" x14ac:dyDescent="0.3">
      <c r="A752" s="47" t="s">
        <v>52</v>
      </c>
      <c r="G752" s="47"/>
    </row>
    <row r="753" spans="1:15" ht="16.5" x14ac:dyDescent="0.25">
      <c r="A753" s="326" t="s">
        <v>54</v>
      </c>
      <c r="B753" s="326"/>
      <c r="C753" s="326"/>
      <c r="D753" s="326"/>
      <c r="E753" s="326"/>
      <c r="F753" s="326"/>
      <c r="G753" s="326"/>
      <c r="H753" s="327" t="s">
        <v>56</v>
      </c>
      <c r="I753" s="322" t="s">
        <v>57</v>
      </c>
      <c r="J753" s="322" t="s">
        <v>58</v>
      </c>
      <c r="K753" s="322" t="s">
        <v>7</v>
      </c>
      <c r="L753" s="322" t="s">
        <v>59</v>
      </c>
      <c r="M753" s="322" t="s">
        <v>60</v>
      </c>
      <c r="N753" s="322" t="s">
        <v>61</v>
      </c>
      <c r="O753" s="324"/>
    </row>
    <row r="754" spans="1:15" ht="13.5" customHeight="1" thickBot="1" x14ac:dyDescent="0.3">
      <c r="H754" s="328"/>
      <c r="I754" s="323"/>
      <c r="J754" s="323"/>
      <c r="K754" s="323"/>
      <c r="L754" s="323"/>
      <c r="M754" s="323"/>
      <c r="N754" s="51" t="s">
        <v>62</v>
      </c>
      <c r="O754" s="52" t="s">
        <v>63</v>
      </c>
    </row>
    <row r="755" spans="1:15" ht="13.5" customHeight="1" x14ac:dyDescent="0.25">
      <c r="A755" s="327" t="s">
        <v>56</v>
      </c>
      <c r="B755" s="322" t="s">
        <v>57</v>
      </c>
      <c r="C755" s="322" t="s">
        <v>58</v>
      </c>
      <c r="D755" s="322" t="s">
        <v>7</v>
      </c>
      <c r="E755" s="322" t="s">
        <v>59</v>
      </c>
      <c r="F755" s="322" t="s">
        <v>60</v>
      </c>
      <c r="G755" s="50" t="s">
        <v>61</v>
      </c>
      <c r="H755" s="310" t="s">
        <v>250</v>
      </c>
      <c r="I755" s="312">
        <v>45554</v>
      </c>
      <c r="J755" s="314" t="s">
        <v>193</v>
      </c>
      <c r="K755" s="316" t="s">
        <v>442</v>
      </c>
      <c r="L755" s="318" t="s">
        <v>325</v>
      </c>
      <c r="M755" s="320">
        <v>15118800</v>
      </c>
      <c r="N755" s="53">
        <v>719</v>
      </c>
      <c r="O755" s="54">
        <v>0</v>
      </c>
    </row>
    <row r="756" spans="1:15" ht="13.5" customHeight="1" thickBot="1" x14ac:dyDescent="0.3">
      <c r="A756" s="328"/>
      <c r="B756" s="323"/>
      <c r="C756" s="323"/>
      <c r="D756" s="323"/>
      <c r="E756" s="323"/>
      <c r="F756" s="323"/>
      <c r="G756" s="51" t="s">
        <v>62</v>
      </c>
      <c r="H756" s="319"/>
      <c r="I756" s="313"/>
      <c r="J756" s="315"/>
      <c r="K756" s="317"/>
      <c r="L756" s="319"/>
      <c r="M756" s="321"/>
      <c r="N756" s="55">
        <v>723</v>
      </c>
      <c r="O756" s="56">
        <f>+M755-O755</f>
        <v>15118800</v>
      </c>
    </row>
    <row r="757" spans="1:15" ht="13.5" customHeight="1" x14ac:dyDescent="0.25">
      <c r="A757" s="193"/>
      <c r="B757" s="194"/>
      <c r="C757" s="194"/>
      <c r="D757" s="194"/>
      <c r="E757" s="194"/>
      <c r="F757" s="194"/>
      <c r="G757" s="194"/>
      <c r="H757" s="310" t="s">
        <v>260</v>
      </c>
      <c r="I757" s="312">
        <v>45554</v>
      </c>
      <c r="J757" s="314" t="s">
        <v>443</v>
      </c>
      <c r="K757" s="318" t="s">
        <v>137</v>
      </c>
      <c r="L757" s="318" t="s">
        <v>5</v>
      </c>
      <c r="M757" s="320">
        <v>942000</v>
      </c>
      <c r="N757" s="53">
        <v>719</v>
      </c>
      <c r="O757" s="54"/>
    </row>
    <row r="758" spans="1:15" ht="13.5" customHeight="1" thickBot="1" x14ac:dyDescent="0.3">
      <c r="A758" s="193"/>
      <c r="B758" s="194"/>
      <c r="C758" s="194"/>
      <c r="D758" s="194"/>
      <c r="E758" s="194"/>
      <c r="F758" s="194"/>
      <c r="G758" s="194"/>
      <c r="H758" s="319"/>
      <c r="I758" s="313"/>
      <c r="J758" s="315"/>
      <c r="K758" s="319"/>
      <c r="L758" s="319"/>
      <c r="M758" s="321"/>
      <c r="N758" s="55">
        <v>723</v>
      </c>
      <c r="O758" s="56">
        <f>+M757-O757</f>
        <v>942000</v>
      </c>
    </row>
    <row r="759" spans="1:15" ht="12.75" customHeight="1" x14ac:dyDescent="0.25">
      <c r="A759" s="318" t="e">
        <f>+A728+1</f>
        <v>#REF!</v>
      </c>
      <c r="B759" s="312">
        <v>42306</v>
      </c>
      <c r="C759" s="314" t="s">
        <v>221</v>
      </c>
      <c r="D759" s="318" t="s">
        <v>444</v>
      </c>
      <c r="E759" s="318" t="s">
        <v>5</v>
      </c>
      <c r="F759" s="320">
        <v>112000</v>
      </c>
      <c r="G759" s="53">
        <v>719</v>
      </c>
      <c r="H759" s="310" t="s">
        <v>262</v>
      </c>
      <c r="I759" s="312">
        <v>45554</v>
      </c>
      <c r="J759" s="314" t="s">
        <v>243</v>
      </c>
      <c r="K759" s="318" t="s">
        <v>137</v>
      </c>
      <c r="L759" s="318" t="s">
        <v>186</v>
      </c>
      <c r="M759" s="320">
        <v>1950000</v>
      </c>
      <c r="N759" s="53">
        <v>719</v>
      </c>
      <c r="O759" s="54">
        <v>0</v>
      </c>
    </row>
    <row r="760" spans="1:15" ht="13.5" customHeight="1" thickBot="1" x14ac:dyDescent="0.3">
      <c r="A760" s="319"/>
      <c r="B760" s="313"/>
      <c r="C760" s="315"/>
      <c r="D760" s="319"/>
      <c r="E760" s="319"/>
      <c r="F760" s="321"/>
      <c r="G760" s="55">
        <v>721</v>
      </c>
      <c r="H760" s="319"/>
      <c r="I760" s="313"/>
      <c r="J760" s="315"/>
      <c r="K760" s="319"/>
      <c r="L760" s="319"/>
      <c r="M760" s="321"/>
      <c r="N760" s="55">
        <v>723</v>
      </c>
      <c r="O760" s="56">
        <f>+M759-O759</f>
        <v>1950000</v>
      </c>
    </row>
    <row r="761" spans="1:15" ht="13.5" customHeight="1" x14ac:dyDescent="0.25">
      <c r="A761" s="318" t="e">
        <f>+A759+1</f>
        <v>#REF!</v>
      </c>
      <c r="B761" s="312">
        <v>42306</v>
      </c>
      <c r="C761" s="318" t="s">
        <v>70</v>
      </c>
      <c r="D761" s="318" t="s">
        <v>445</v>
      </c>
      <c r="E761" s="318" t="s">
        <v>5</v>
      </c>
      <c r="F761" s="320">
        <v>210000</v>
      </c>
      <c r="G761" s="53">
        <v>719</v>
      </c>
      <c r="H761" s="310" t="s">
        <v>265</v>
      </c>
      <c r="I761" s="312">
        <v>45554</v>
      </c>
      <c r="J761" s="314" t="s">
        <v>193</v>
      </c>
      <c r="K761" s="318" t="s">
        <v>446</v>
      </c>
      <c r="L761" s="318" t="s">
        <v>283</v>
      </c>
      <c r="M761" s="320">
        <v>760000</v>
      </c>
      <c r="N761" s="53">
        <v>719</v>
      </c>
      <c r="O761" s="54">
        <v>760000</v>
      </c>
    </row>
    <row r="762" spans="1:15" ht="13.5" customHeight="1" thickBot="1" x14ac:dyDescent="0.3">
      <c r="A762" s="319"/>
      <c r="B762" s="313"/>
      <c r="C762" s="319"/>
      <c r="D762" s="319"/>
      <c r="E762" s="319"/>
      <c r="F762" s="321"/>
      <c r="G762" s="55">
        <v>721</v>
      </c>
      <c r="H762" s="319"/>
      <c r="I762" s="313"/>
      <c r="J762" s="315"/>
      <c r="K762" s="319"/>
      <c r="L762" s="319"/>
      <c r="M762" s="321"/>
      <c r="N762" s="55">
        <v>721</v>
      </c>
      <c r="O762" s="56">
        <f>+M761-O761</f>
        <v>0</v>
      </c>
    </row>
    <row r="763" spans="1:15" ht="15" customHeight="1" x14ac:dyDescent="0.25">
      <c r="A763" s="318" t="e">
        <f>+#REF!+1</f>
        <v>#REF!</v>
      </c>
      <c r="B763" s="312">
        <v>42306</v>
      </c>
      <c r="C763" s="314" t="s">
        <v>231</v>
      </c>
      <c r="D763" s="318" t="s">
        <v>447</v>
      </c>
      <c r="E763" s="318" t="s">
        <v>5</v>
      </c>
      <c r="F763" s="320">
        <v>56000</v>
      </c>
      <c r="G763" s="53">
        <v>719</v>
      </c>
      <c r="H763" s="310" t="s">
        <v>267</v>
      </c>
      <c r="I763" s="312">
        <v>45540</v>
      </c>
      <c r="J763" s="314" t="s">
        <v>448</v>
      </c>
      <c r="K763" s="318" t="s">
        <v>449</v>
      </c>
      <c r="L763" s="318" t="s">
        <v>325</v>
      </c>
      <c r="M763" s="320">
        <v>2519800</v>
      </c>
      <c r="N763" s="53">
        <v>719</v>
      </c>
      <c r="O763" s="54">
        <v>0</v>
      </c>
    </row>
    <row r="764" spans="1:15" ht="13.5" customHeight="1" thickBot="1" x14ac:dyDescent="0.3">
      <c r="A764" s="319"/>
      <c r="B764" s="313"/>
      <c r="C764" s="315"/>
      <c r="D764" s="319"/>
      <c r="E764" s="319"/>
      <c r="F764" s="321"/>
      <c r="G764" s="55">
        <v>721</v>
      </c>
      <c r="H764" s="319"/>
      <c r="I764" s="313"/>
      <c r="J764" s="315"/>
      <c r="K764" s="319"/>
      <c r="L764" s="319"/>
      <c r="M764" s="321"/>
      <c r="N764" s="55">
        <v>723</v>
      </c>
      <c r="O764" s="113">
        <f>+M763-O763</f>
        <v>2519800</v>
      </c>
    </row>
    <row r="765" spans="1:15" ht="15" customHeight="1" thickBot="1" x14ac:dyDescent="0.3">
      <c r="A765" s="318" t="e">
        <f>+A763+1</f>
        <v>#REF!</v>
      </c>
      <c r="B765" s="312">
        <v>42306</v>
      </c>
      <c r="C765" s="314" t="s">
        <v>297</v>
      </c>
      <c r="D765" s="318" t="s">
        <v>445</v>
      </c>
      <c r="E765" s="318" t="s">
        <v>66</v>
      </c>
      <c r="F765" s="358">
        <v>714000</v>
      </c>
      <c r="G765" s="53">
        <v>719</v>
      </c>
      <c r="H765" s="297" t="s">
        <v>80</v>
      </c>
      <c r="I765" s="298"/>
      <c r="J765" s="298"/>
      <c r="K765" s="298"/>
      <c r="L765" s="299"/>
      <c r="M765" s="62">
        <f>SUM(M755:M764)</f>
        <v>21290600</v>
      </c>
    </row>
    <row r="766" spans="1:15" ht="15.75" customHeight="1" thickBot="1" x14ac:dyDescent="0.3">
      <c r="A766" s="319"/>
      <c r="B766" s="313"/>
      <c r="C766" s="315"/>
      <c r="D766" s="319"/>
      <c r="E766" s="319"/>
      <c r="F766" s="359"/>
      <c r="G766" s="55">
        <v>721</v>
      </c>
      <c r="H766" s="300" t="s">
        <v>81</v>
      </c>
      <c r="I766" s="301"/>
      <c r="J766" s="301"/>
      <c r="K766" s="301"/>
      <c r="L766" s="302"/>
      <c r="M766" s="106">
        <f>+M730</f>
        <v>361558886</v>
      </c>
      <c r="N766" s="64" t="s">
        <v>82</v>
      </c>
      <c r="O766" s="65">
        <v>963</v>
      </c>
    </row>
    <row r="767" spans="1:15" ht="16.5" thickBot="1" x14ac:dyDescent="0.3">
      <c r="A767" s="297" t="s">
        <v>80</v>
      </c>
      <c r="B767" s="298"/>
      <c r="C767" s="298"/>
      <c r="D767" s="298"/>
      <c r="E767" s="299"/>
      <c r="F767" s="62">
        <f>SUM(F759:F766)</f>
        <v>1092000</v>
      </c>
      <c r="H767" s="303" t="s">
        <v>83</v>
      </c>
      <c r="I767" s="304"/>
      <c r="J767" s="304"/>
      <c r="K767" s="304"/>
      <c r="L767" s="305"/>
      <c r="M767" s="66">
        <f>SUM(M765:M766)</f>
        <v>382849486</v>
      </c>
    </row>
    <row r="768" spans="1:15" ht="8.25" customHeight="1" thickBot="1" x14ac:dyDescent="0.3">
      <c r="A768" s="300" t="s">
        <v>81</v>
      </c>
      <c r="B768" s="301"/>
      <c r="C768" s="301"/>
      <c r="D768" s="301"/>
      <c r="E768" s="302"/>
      <c r="F768" s="63" t="e">
        <f>+F732</f>
        <v>#REF!</v>
      </c>
      <c r="H768" s="67"/>
      <c r="I768" s="67"/>
      <c r="J768" s="67"/>
      <c r="K768" s="67"/>
      <c r="L768" s="67"/>
    </row>
    <row r="769" spans="1:15" ht="16.5" thickBot="1" x14ac:dyDescent="0.3">
      <c r="A769" s="303" t="s">
        <v>83</v>
      </c>
      <c r="B769" s="304"/>
      <c r="C769" s="304"/>
      <c r="D769" s="304"/>
      <c r="E769" s="305"/>
      <c r="F769" s="66" t="e">
        <f>SUM(F767:F768)</f>
        <v>#REF!</v>
      </c>
      <c r="H769" s="41" t="s">
        <v>450</v>
      </c>
    </row>
    <row r="770" spans="1:15" ht="6.75" customHeight="1" x14ac:dyDescent="0.25">
      <c r="A770" s="67"/>
      <c r="B770" s="67"/>
      <c r="C770" s="67"/>
      <c r="D770" s="67"/>
      <c r="E770" s="67"/>
      <c r="M770" s="68"/>
    </row>
    <row r="771" spans="1:15" x14ac:dyDescent="0.25">
      <c r="A771" s="41" t="s">
        <v>451</v>
      </c>
      <c r="H771" s="40" t="s">
        <v>86</v>
      </c>
      <c r="K771" s="69"/>
      <c r="M771" s="68"/>
    </row>
    <row r="772" spans="1:15" ht="6.75" customHeight="1" thickBot="1" x14ac:dyDescent="0.3">
      <c r="F772" s="68"/>
    </row>
    <row r="773" spans="1:15" ht="17.25" thickBot="1" x14ac:dyDescent="0.3">
      <c r="A773" s="40" t="s">
        <v>86</v>
      </c>
      <c r="D773" s="69"/>
      <c r="F773" s="68"/>
      <c r="H773" s="306" t="s">
        <v>87</v>
      </c>
      <c r="I773" s="307"/>
      <c r="J773" s="307"/>
      <c r="K773" s="308"/>
      <c r="M773" s="357" t="s">
        <v>89</v>
      </c>
      <c r="N773" s="357"/>
      <c r="O773" s="357"/>
    </row>
    <row r="774" spans="1:15" ht="29.25" customHeight="1" thickBot="1" x14ac:dyDescent="0.3">
      <c r="H774" s="70" t="s">
        <v>62</v>
      </c>
      <c r="I774" s="71" t="s">
        <v>90</v>
      </c>
      <c r="J774" s="111" t="s">
        <v>91</v>
      </c>
      <c r="K774" s="73" t="s">
        <v>92</v>
      </c>
      <c r="M774" s="124"/>
      <c r="N774" s="124"/>
      <c r="O774" s="124"/>
    </row>
    <row r="775" spans="1:15" ht="13.5" customHeight="1" thickBot="1" x14ac:dyDescent="0.3">
      <c r="A775" s="306" t="s">
        <v>87</v>
      </c>
      <c r="B775" s="307"/>
      <c r="C775" s="307"/>
      <c r="D775" s="308"/>
      <c r="F775" s="40" t="s">
        <v>89</v>
      </c>
      <c r="H775" s="75">
        <v>719</v>
      </c>
      <c r="I775" s="76">
        <f>+O761</f>
        <v>760000</v>
      </c>
      <c r="J775" s="77">
        <f>+K738</f>
        <v>50016000</v>
      </c>
      <c r="K775" s="79">
        <f>+I775+J775</f>
        <v>50776000</v>
      </c>
      <c r="M775" s="124"/>
      <c r="N775" s="124"/>
      <c r="O775" s="124"/>
    </row>
    <row r="776" spans="1:15" ht="13.5" customHeight="1" thickBot="1" x14ac:dyDescent="0.3">
      <c r="A776" s="70" t="s">
        <v>62</v>
      </c>
      <c r="B776" s="71" t="s">
        <v>90</v>
      </c>
      <c r="C776" s="72" t="s">
        <v>91</v>
      </c>
      <c r="D776" s="73" t="s">
        <v>92</v>
      </c>
      <c r="H776" s="80">
        <v>721</v>
      </c>
      <c r="I776" s="192"/>
      <c r="J776" s="77">
        <f>+K739</f>
        <v>10208000</v>
      </c>
      <c r="K776" s="79">
        <f>+I776+J776</f>
        <v>10208000</v>
      </c>
      <c r="M776" s="124"/>
      <c r="N776" s="124"/>
      <c r="O776" s="124"/>
    </row>
    <row r="777" spans="1:15" ht="12" customHeight="1" x14ac:dyDescent="0.25">
      <c r="A777" s="75">
        <v>719</v>
      </c>
      <c r="B777" s="76" t="e">
        <f>+#REF!+#REF!+#REF!+#REF!+#REF!</f>
        <v>#REF!</v>
      </c>
      <c r="C777" s="77" t="e">
        <f>+D740</f>
        <v>#REF!</v>
      </c>
      <c r="D777" s="79" t="e">
        <f>+B777+C777</f>
        <v>#REF!</v>
      </c>
      <c r="H777" s="80">
        <v>722</v>
      </c>
      <c r="I777" s="192"/>
      <c r="J777" s="77">
        <f>+K740</f>
        <v>0</v>
      </c>
      <c r="K777" s="79">
        <f>+I777+J777</f>
        <v>0</v>
      </c>
      <c r="M777" s="124"/>
      <c r="N777" s="124"/>
      <c r="O777" s="124"/>
    </row>
    <row r="778" spans="1:15" ht="12.75" customHeight="1" thickBot="1" x14ac:dyDescent="0.3">
      <c r="A778" s="80">
        <v>721</v>
      </c>
      <c r="B778" s="81" t="e">
        <f>+#REF!+#REF!+#REF!+#REF!+#REF!</f>
        <v>#REF!</v>
      </c>
      <c r="C778" s="77" t="e">
        <f>+D741</f>
        <v>#REF!</v>
      </c>
      <c r="D778" s="79" t="e">
        <f>+B778+C778</f>
        <v>#REF!</v>
      </c>
      <c r="H778" s="80">
        <v>723</v>
      </c>
      <c r="I778" s="192">
        <f>+O756+O758+O760+O764</f>
        <v>20530600</v>
      </c>
      <c r="J778" s="77">
        <f>+K741</f>
        <v>301334886</v>
      </c>
      <c r="K778" s="79">
        <f>+I778+J778</f>
        <v>321865486</v>
      </c>
      <c r="M778" s="343"/>
      <c r="N778" s="275"/>
      <c r="O778" s="275"/>
    </row>
    <row r="779" spans="1:15" ht="12.75" hidden="1" customHeight="1" x14ac:dyDescent="0.25">
      <c r="A779" s="80">
        <v>722</v>
      </c>
      <c r="B779" s="81"/>
      <c r="C779" s="77" t="e">
        <f>+D742</f>
        <v>#REF!</v>
      </c>
      <c r="D779" s="79" t="e">
        <f>+B779+C779</f>
        <v>#REF!</v>
      </c>
      <c r="H779" s="85" t="s">
        <v>94</v>
      </c>
      <c r="I779" s="86"/>
      <c r="J779" s="77" t="e">
        <f>+K742</f>
        <v>#REF!</v>
      </c>
      <c r="K779" s="89" t="e">
        <f>+I779+J779</f>
        <v>#REF!</v>
      </c>
      <c r="M779" s="45"/>
    </row>
    <row r="780" spans="1:15" ht="16.5" thickBot="1" x14ac:dyDescent="0.3">
      <c r="A780" s="80">
        <v>723</v>
      </c>
      <c r="B780" s="81"/>
      <c r="C780" s="77" t="e">
        <f>+D743</f>
        <v>#REF!</v>
      </c>
      <c r="D780" s="79" t="e">
        <f>+B780+C780</f>
        <v>#REF!</v>
      </c>
      <c r="F780" s="83" t="s">
        <v>93</v>
      </c>
      <c r="G780" s="84"/>
      <c r="H780" s="90"/>
      <c r="I780" s="94">
        <f>SUM(I775:I779)</f>
        <v>21290600</v>
      </c>
      <c r="J780" s="94" t="e">
        <f>SUM(J775:J779)</f>
        <v>#REF!</v>
      </c>
      <c r="K780" s="95" t="e">
        <f>SUM(K775:K779)</f>
        <v>#REF!</v>
      </c>
    </row>
    <row r="781" spans="1:15" ht="17.25" thickBot="1" x14ac:dyDescent="0.3">
      <c r="A781" s="85" t="s">
        <v>94</v>
      </c>
      <c r="B781" s="86"/>
      <c r="C781" s="77" t="e">
        <f>+D744</f>
        <v>#REF!</v>
      </c>
      <c r="D781" s="89" t="e">
        <f>+B781+C781</f>
        <v>#REF!</v>
      </c>
      <c r="F781" s="45"/>
      <c r="H781" s="39" t="s">
        <v>46</v>
      </c>
      <c r="I781" s="40"/>
    </row>
    <row r="782" spans="1:15" ht="16.5" thickBot="1" x14ac:dyDescent="0.3">
      <c r="A782" s="90"/>
      <c r="B782" s="91" t="e">
        <f>SUM(B777:B781)</f>
        <v>#REF!</v>
      </c>
      <c r="C782" s="92" t="e">
        <f>SUM(C777:C781)</f>
        <v>#REF!</v>
      </c>
      <c r="D782" s="93" t="e">
        <f>SUM(D777:D781)</f>
        <v>#REF!</v>
      </c>
      <c r="H782" s="41" t="s">
        <v>47</v>
      </c>
    </row>
    <row r="783" spans="1:15" ht="16.5" x14ac:dyDescent="0.25">
      <c r="A783" s="39" t="s">
        <v>46</v>
      </c>
      <c r="B783" s="40"/>
      <c r="H783" s="41" t="s">
        <v>48</v>
      </c>
    </row>
    <row r="784" spans="1:15" x14ac:dyDescent="0.25">
      <c r="A784" s="41" t="s">
        <v>47</v>
      </c>
      <c r="H784" s="41" t="s">
        <v>49</v>
      </c>
    </row>
    <row r="785" spans="1:15" ht="3" customHeight="1" x14ac:dyDescent="0.25">
      <c r="A785" s="41" t="s">
        <v>48</v>
      </c>
      <c r="H785" s="40"/>
      <c r="I785" s="40"/>
    </row>
    <row r="786" spans="1:15" ht="16.5" x14ac:dyDescent="0.25">
      <c r="A786" s="41" t="s">
        <v>49</v>
      </c>
      <c r="H786" s="188" t="s">
        <v>452</v>
      </c>
      <c r="I786" s="189"/>
      <c r="N786" s="45"/>
    </row>
    <row r="787" spans="1:15" ht="15" customHeight="1" x14ac:dyDescent="0.25">
      <c r="A787" s="40"/>
      <c r="B787" s="40"/>
      <c r="H787" s="190" t="s">
        <v>394</v>
      </c>
      <c r="I787" s="189"/>
      <c r="N787" s="47"/>
    </row>
    <row r="788" spans="1:15" ht="16.5" x14ac:dyDescent="0.25">
      <c r="A788" s="45" t="s">
        <v>453</v>
      </c>
      <c r="G788" s="45"/>
      <c r="H788" s="326" t="s">
        <v>454</v>
      </c>
      <c r="I788" s="326"/>
      <c r="J788" s="326"/>
      <c r="K788" s="326"/>
      <c r="L788" s="326"/>
      <c r="M788" s="326"/>
      <c r="N788" s="326"/>
      <c r="O788" s="326"/>
    </row>
    <row r="789" spans="1:15" ht="16.5" customHeight="1" thickBot="1" x14ac:dyDescent="0.3">
      <c r="A789" s="47" t="s">
        <v>52</v>
      </c>
      <c r="G789" s="47"/>
    </row>
    <row r="790" spans="1:15" ht="16.5" x14ac:dyDescent="0.25">
      <c r="A790" s="326" t="s">
        <v>54</v>
      </c>
      <c r="B790" s="326"/>
      <c r="C790" s="326"/>
      <c r="D790" s="326"/>
      <c r="E790" s="326"/>
      <c r="F790" s="326"/>
      <c r="G790" s="326"/>
      <c r="H790" s="327" t="s">
        <v>56</v>
      </c>
      <c r="I790" s="322" t="s">
        <v>57</v>
      </c>
      <c r="J790" s="322" t="s">
        <v>58</v>
      </c>
      <c r="K790" s="322" t="s">
        <v>7</v>
      </c>
      <c r="L790" s="322" t="s">
        <v>59</v>
      </c>
      <c r="M790" s="322" t="s">
        <v>60</v>
      </c>
      <c r="N790" s="322" t="s">
        <v>61</v>
      </c>
      <c r="O790" s="324"/>
    </row>
    <row r="791" spans="1:15" ht="13.5" customHeight="1" thickBot="1" x14ac:dyDescent="0.3">
      <c r="H791" s="328"/>
      <c r="I791" s="323"/>
      <c r="J791" s="323"/>
      <c r="K791" s="323"/>
      <c r="L791" s="323"/>
      <c r="M791" s="323"/>
      <c r="N791" s="51" t="s">
        <v>62</v>
      </c>
      <c r="O791" s="52" t="s">
        <v>63</v>
      </c>
    </row>
    <row r="792" spans="1:15" ht="13.5" customHeight="1" x14ac:dyDescent="0.25">
      <c r="A792" s="327" t="s">
        <v>56</v>
      </c>
      <c r="B792" s="322" t="s">
        <v>57</v>
      </c>
      <c r="C792" s="322" t="s">
        <v>58</v>
      </c>
      <c r="D792" s="322" t="s">
        <v>7</v>
      </c>
      <c r="E792" s="322" t="s">
        <v>59</v>
      </c>
      <c r="F792" s="322" t="s">
        <v>60</v>
      </c>
      <c r="G792" s="50" t="s">
        <v>61</v>
      </c>
      <c r="H792" s="310" t="s">
        <v>271</v>
      </c>
      <c r="I792" s="312">
        <v>45540</v>
      </c>
      <c r="J792" s="314" t="s">
        <v>68</v>
      </c>
      <c r="K792" s="318" t="s">
        <v>455</v>
      </c>
      <c r="L792" s="318" t="s">
        <v>5</v>
      </c>
      <c r="M792" s="320">
        <v>530000</v>
      </c>
      <c r="N792" s="53">
        <v>719</v>
      </c>
      <c r="O792" s="54">
        <v>530000</v>
      </c>
    </row>
    <row r="793" spans="1:15" ht="14.25" customHeight="1" thickBot="1" x14ac:dyDescent="0.3">
      <c r="A793" s="328"/>
      <c r="B793" s="323"/>
      <c r="C793" s="323"/>
      <c r="D793" s="323"/>
      <c r="E793" s="323"/>
      <c r="F793" s="323"/>
      <c r="G793" s="51" t="s">
        <v>62</v>
      </c>
      <c r="H793" s="319"/>
      <c r="I793" s="313"/>
      <c r="J793" s="315"/>
      <c r="K793" s="319"/>
      <c r="L793" s="319"/>
      <c r="M793" s="321"/>
      <c r="N793" s="55">
        <v>721</v>
      </c>
      <c r="O793" s="113">
        <f>+M792-O792</f>
        <v>0</v>
      </c>
    </row>
    <row r="794" spans="1:15" ht="12.75" customHeight="1" x14ac:dyDescent="0.25">
      <c r="A794" s="318" t="e">
        <f>+A765+1</f>
        <v>#REF!</v>
      </c>
      <c r="B794" s="312">
        <v>42306</v>
      </c>
      <c r="C794" s="314" t="s">
        <v>297</v>
      </c>
      <c r="D794" s="318" t="s">
        <v>456</v>
      </c>
      <c r="E794" s="318" t="s">
        <v>66</v>
      </c>
      <c r="F794" s="320">
        <v>40000</v>
      </c>
      <c r="G794" s="53">
        <v>719</v>
      </c>
      <c r="H794" s="310" t="s">
        <v>280</v>
      </c>
      <c r="I794" s="312">
        <v>45540</v>
      </c>
      <c r="J794" s="314" t="s">
        <v>136</v>
      </c>
      <c r="K794" s="318" t="s">
        <v>457</v>
      </c>
      <c r="L794" s="318" t="s">
        <v>325</v>
      </c>
      <c r="M794" s="320">
        <v>742500</v>
      </c>
      <c r="N794" s="53">
        <v>719</v>
      </c>
      <c r="O794" s="54">
        <v>550000</v>
      </c>
    </row>
    <row r="795" spans="1:15" ht="14.25" customHeight="1" thickBot="1" x14ac:dyDescent="0.3">
      <c r="A795" s="319"/>
      <c r="B795" s="313"/>
      <c r="C795" s="315"/>
      <c r="D795" s="319"/>
      <c r="E795" s="319"/>
      <c r="F795" s="321"/>
      <c r="G795" s="55">
        <v>721</v>
      </c>
      <c r="H795" s="319"/>
      <c r="I795" s="313"/>
      <c r="J795" s="315"/>
      <c r="K795" s="319"/>
      <c r="L795" s="319"/>
      <c r="M795" s="321"/>
      <c r="N795" s="55">
        <v>721</v>
      </c>
      <c r="O795" s="113">
        <f>+M794-O794</f>
        <v>192500</v>
      </c>
    </row>
    <row r="796" spans="1:15" ht="14.25" customHeight="1" x14ac:dyDescent="0.25">
      <c r="A796" s="57"/>
      <c r="B796" s="58"/>
      <c r="C796" s="57"/>
      <c r="D796" s="57"/>
      <c r="E796" s="57"/>
      <c r="F796" s="60"/>
      <c r="G796" s="61"/>
      <c r="H796" s="310"/>
      <c r="I796" s="312"/>
      <c r="J796" s="314"/>
      <c r="K796" s="318"/>
      <c r="L796" s="318"/>
      <c r="M796" s="320"/>
      <c r="N796" s="53">
        <v>719</v>
      </c>
      <c r="O796" s="54">
        <v>0</v>
      </c>
    </row>
    <row r="797" spans="1:15" ht="14.25" customHeight="1" thickBot="1" x14ac:dyDescent="0.3">
      <c r="A797" s="57"/>
      <c r="B797" s="58"/>
      <c r="C797" s="57"/>
      <c r="D797" s="57"/>
      <c r="E797" s="57"/>
      <c r="F797" s="60"/>
      <c r="G797" s="61"/>
      <c r="H797" s="311"/>
      <c r="I797" s="313"/>
      <c r="J797" s="315"/>
      <c r="K797" s="319"/>
      <c r="L797" s="319"/>
      <c r="M797" s="321"/>
      <c r="N797" s="55">
        <v>723</v>
      </c>
      <c r="O797" s="113"/>
    </row>
    <row r="798" spans="1:15" ht="12" customHeight="1" x14ac:dyDescent="0.25">
      <c r="A798" s="318"/>
      <c r="B798" s="312"/>
      <c r="C798" s="314"/>
      <c r="D798" s="318"/>
      <c r="E798" s="318"/>
      <c r="F798" s="320"/>
      <c r="G798" s="53">
        <v>719</v>
      </c>
      <c r="H798" s="310"/>
      <c r="I798" s="312"/>
      <c r="J798" s="314"/>
      <c r="K798" s="318"/>
      <c r="L798" s="318"/>
      <c r="M798" s="320"/>
      <c r="N798" s="53">
        <v>719</v>
      </c>
      <c r="O798" s="54">
        <v>0</v>
      </c>
    </row>
    <row r="799" spans="1:15" ht="12.75" customHeight="1" thickBot="1" x14ac:dyDescent="0.3">
      <c r="A799" s="319"/>
      <c r="B799" s="313"/>
      <c r="C799" s="315"/>
      <c r="D799" s="319"/>
      <c r="E799" s="319"/>
      <c r="F799" s="321"/>
      <c r="G799" s="55">
        <v>721</v>
      </c>
      <c r="H799" s="311"/>
      <c r="I799" s="313"/>
      <c r="J799" s="315"/>
      <c r="K799" s="319"/>
      <c r="L799" s="319"/>
      <c r="M799" s="321"/>
      <c r="N799" s="55">
        <v>721</v>
      </c>
      <c r="O799" s="113">
        <f>+M798-O798</f>
        <v>0</v>
      </c>
    </row>
    <row r="800" spans="1:15" ht="15" customHeight="1" thickBot="1" x14ac:dyDescent="0.3">
      <c r="A800" s="318"/>
      <c r="B800" s="312"/>
      <c r="C800" s="318"/>
      <c r="D800" s="318"/>
      <c r="E800" s="318"/>
      <c r="F800" s="320"/>
      <c r="G800" s="53">
        <v>719</v>
      </c>
      <c r="H800" s="297" t="s">
        <v>80</v>
      </c>
      <c r="I800" s="298"/>
      <c r="J800" s="298"/>
      <c r="K800" s="298"/>
      <c r="L800" s="299"/>
      <c r="M800" s="62">
        <f>SUM(M792:M799)</f>
        <v>1272500</v>
      </c>
    </row>
    <row r="801" spans="1:15" ht="15.75" customHeight="1" thickBot="1" x14ac:dyDescent="0.3">
      <c r="A801" s="319"/>
      <c r="B801" s="313"/>
      <c r="C801" s="319"/>
      <c r="D801" s="319"/>
      <c r="E801" s="319"/>
      <c r="F801" s="321"/>
      <c r="G801" s="55">
        <v>721</v>
      </c>
      <c r="H801" s="300" t="s">
        <v>81</v>
      </c>
      <c r="I801" s="301"/>
      <c r="J801" s="301"/>
      <c r="K801" s="301"/>
      <c r="L801" s="302"/>
      <c r="M801" s="106">
        <f>+M767</f>
        <v>382849486</v>
      </c>
      <c r="N801" s="64" t="s">
        <v>82</v>
      </c>
      <c r="O801" s="65">
        <f>352+1162</f>
        <v>1514</v>
      </c>
    </row>
    <row r="802" spans="1:15" ht="16.5" thickBot="1" x14ac:dyDescent="0.3">
      <c r="A802" s="297" t="s">
        <v>80</v>
      </c>
      <c r="B802" s="298"/>
      <c r="C802" s="298"/>
      <c r="D802" s="298"/>
      <c r="E802" s="299"/>
      <c r="F802" s="62">
        <f>SUM(F794:F801)</f>
        <v>40000</v>
      </c>
      <c r="H802" s="303" t="s">
        <v>83</v>
      </c>
      <c r="I802" s="304"/>
      <c r="J802" s="304"/>
      <c r="K802" s="304"/>
      <c r="L802" s="305"/>
      <c r="M802" s="66">
        <f>SUM(M800:M801)</f>
        <v>384121986</v>
      </c>
    </row>
    <row r="803" spans="1:15" ht="8.25" customHeight="1" thickBot="1" x14ac:dyDescent="0.3">
      <c r="A803" s="300" t="s">
        <v>81</v>
      </c>
      <c r="B803" s="301"/>
      <c r="C803" s="301"/>
      <c r="D803" s="301"/>
      <c r="E803" s="302"/>
      <c r="F803" s="63" t="e">
        <f>+F769</f>
        <v>#REF!</v>
      </c>
      <c r="H803" s="67"/>
      <c r="I803" s="67"/>
      <c r="J803" s="67"/>
      <c r="K803" s="67"/>
      <c r="L803" s="67"/>
    </row>
    <row r="804" spans="1:15" ht="16.5" thickBot="1" x14ac:dyDescent="0.3">
      <c r="A804" s="303" t="s">
        <v>83</v>
      </c>
      <c r="B804" s="304"/>
      <c r="C804" s="304"/>
      <c r="D804" s="304"/>
      <c r="E804" s="305"/>
      <c r="F804" s="66" t="e">
        <f>SUM(F802:F803)</f>
        <v>#REF!</v>
      </c>
      <c r="H804" s="41" t="s">
        <v>458</v>
      </c>
    </row>
    <row r="805" spans="1:15" ht="8.25" customHeight="1" x14ac:dyDescent="0.25">
      <c r="A805" s="67"/>
      <c r="B805" s="67"/>
      <c r="C805" s="67"/>
      <c r="D805" s="67"/>
      <c r="E805" s="67"/>
      <c r="M805" s="68"/>
    </row>
    <row r="806" spans="1:15" x14ac:dyDescent="0.25">
      <c r="A806" s="41" t="s">
        <v>459</v>
      </c>
      <c r="H806" s="40" t="s">
        <v>86</v>
      </c>
      <c r="K806" s="69"/>
      <c r="M806" s="68"/>
    </row>
    <row r="807" spans="1:15" ht="9" customHeight="1" thickBot="1" x14ac:dyDescent="0.3">
      <c r="F807" s="68"/>
    </row>
    <row r="808" spans="1:15" ht="17.25" thickBot="1" x14ac:dyDescent="0.3">
      <c r="A808" s="40" t="s">
        <v>86</v>
      </c>
      <c r="D808" s="69"/>
      <c r="F808" s="68"/>
      <c r="H808" s="306" t="s">
        <v>87</v>
      </c>
      <c r="I808" s="307"/>
      <c r="J808" s="307"/>
      <c r="K808" s="308"/>
      <c r="M808" s="357" t="s">
        <v>89</v>
      </c>
      <c r="N808" s="357"/>
      <c r="O808" s="357"/>
    </row>
    <row r="809" spans="1:15" ht="27" customHeight="1" thickBot="1" x14ac:dyDescent="0.3">
      <c r="H809" s="70" t="s">
        <v>62</v>
      </c>
      <c r="I809" s="71" t="s">
        <v>90</v>
      </c>
      <c r="J809" s="74" t="s">
        <v>91</v>
      </c>
      <c r="K809" s="73" t="s">
        <v>92</v>
      </c>
      <c r="M809" s="124"/>
      <c r="N809" s="124"/>
      <c r="O809" s="124"/>
    </row>
    <row r="810" spans="1:15" ht="13.5" customHeight="1" thickBot="1" x14ac:dyDescent="0.3">
      <c r="A810" s="306" t="s">
        <v>87</v>
      </c>
      <c r="B810" s="307"/>
      <c r="C810" s="307"/>
      <c r="D810" s="308"/>
      <c r="F810" s="40" t="s">
        <v>89</v>
      </c>
      <c r="H810" s="75">
        <v>719</v>
      </c>
      <c r="I810" s="76">
        <f>+O792+O794</f>
        <v>1080000</v>
      </c>
      <c r="J810" s="77">
        <f>+K775</f>
        <v>50776000</v>
      </c>
      <c r="K810" s="79">
        <f>+I810+J810</f>
        <v>51856000</v>
      </c>
      <c r="M810" s="124"/>
      <c r="N810" s="124"/>
      <c r="O810" s="124"/>
    </row>
    <row r="811" spans="1:15" ht="15" customHeight="1" thickBot="1" x14ac:dyDescent="0.3">
      <c r="A811" s="70" t="s">
        <v>62</v>
      </c>
      <c r="B811" s="71" t="s">
        <v>90</v>
      </c>
      <c r="C811" s="72" t="s">
        <v>91</v>
      </c>
      <c r="D811" s="73" t="s">
        <v>92</v>
      </c>
      <c r="H811" s="80">
        <v>721</v>
      </c>
      <c r="I811" s="192">
        <f>+O795</f>
        <v>192500</v>
      </c>
      <c r="J811" s="77">
        <f>+K776</f>
        <v>10208000</v>
      </c>
      <c r="K811" s="79">
        <f>+I811+J811</f>
        <v>10400500</v>
      </c>
      <c r="M811" s="124"/>
      <c r="N811" s="124"/>
      <c r="O811" s="124"/>
    </row>
    <row r="812" spans="1:15" ht="12" customHeight="1" x14ac:dyDescent="0.25">
      <c r="A812" s="75">
        <v>719</v>
      </c>
      <c r="B812" s="76" t="e">
        <f>+#REF!+#REF!+#REF!+#REF!+#REF!</f>
        <v>#REF!</v>
      </c>
      <c r="C812" s="77" t="e">
        <f>+D777</f>
        <v>#REF!</v>
      </c>
      <c r="D812" s="79" t="e">
        <f>+B812+C812</f>
        <v>#REF!</v>
      </c>
      <c r="H812" s="80">
        <v>722</v>
      </c>
      <c r="I812" s="192"/>
      <c r="J812" s="77">
        <f>+K777</f>
        <v>0</v>
      </c>
      <c r="K812" s="79">
        <f>+I812+J812</f>
        <v>0</v>
      </c>
      <c r="M812" s="124"/>
      <c r="N812" s="124"/>
      <c r="O812" s="124"/>
    </row>
    <row r="813" spans="1:15" ht="13.5" customHeight="1" thickBot="1" x14ac:dyDescent="0.3">
      <c r="A813" s="80">
        <v>721</v>
      </c>
      <c r="B813" s="81" t="e">
        <f>+#REF!</f>
        <v>#REF!</v>
      </c>
      <c r="C813" s="77" t="e">
        <f>+D778</f>
        <v>#REF!</v>
      </c>
      <c r="D813" s="79" t="e">
        <f>+B813+C813</f>
        <v>#REF!</v>
      </c>
      <c r="H813" s="80">
        <v>723</v>
      </c>
      <c r="I813" s="192"/>
      <c r="J813" s="77">
        <f>+K778</f>
        <v>321865486</v>
      </c>
      <c r="K813" s="79">
        <f>+I813+J813</f>
        <v>321865486</v>
      </c>
      <c r="M813" s="343"/>
      <c r="N813" s="275"/>
      <c r="O813" s="275"/>
    </row>
    <row r="814" spans="1:15" ht="13.5" hidden="1" customHeight="1" x14ac:dyDescent="0.25">
      <c r="A814" s="80">
        <v>722</v>
      </c>
      <c r="B814" s="81"/>
      <c r="C814" s="77" t="e">
        <f>+D779</f>
        <v>#REF!</v>
      </c>
      <c r="D814" s="79" t="e">
        <f>+B814+C814</f>
        <v>#REF!</v>
      </c>
      <c r="H814" s="85" t="s">
        <v>94</v>
      </c>
      <c r="I814" s="86"/>
      <c r="J814" s="77" t="e">
        <f>+K779</f>
        <v>#REF!</v>
      </c>
      <c r="K814" s="89" t="e">
        <f>+I814+J814</f>
        <v>#REF!</v>
      </c>
      <c r="M814" s="45"/>
    </row>
    <row r="815" spans="1:15" ht="16.5" thickBot="1" x14ac:dyDescent="0.3">
      <c r="A815" s="80">
        <v>723</v>
      </c>
      <c r="B815" s="81" t="e">
        <f>+#REF!</f>
        <v>#REF!</v>
      </c>
      <c r="C815" s="77" t="e">
        <f>+D780</f>
        <v>#REF!</v>
      </c>
      <c r="D815" s="79" t="e">
        <f>+B815+C815</f>
        <v>#REF!</v>
      </c>
      <c r="F815" s="83" t="s">
        <v>93</v>
      </c>
      <c r="G815" s="84"/>
      <c r="H815" s="90"/>
      <c r="I815" s="94">
        <f>SUM(I810:I814)</f>
        <v>1272500</v>
      </c>
      <c r="J815" s="94" t="e">
        <f>SUM(J810:J814)</f>
        <v>#REF!</v>
      </c>
      <c r="K815" s="95" t="e">
        <f>SUM(K810:K814)</f>
        <v>#REF!</v>
      </c>
    </row>
    <row r="816" spans="1:15" ht="17.25" thickBot="1" x14ac:dyDescent="0.3">
      <c r="A816" s="85" t="s">
        <v>94</v>
      </c>
      <c r="B816" s="86"/>
      <c r="C816" s="77" t="e">
        <f>+D781</f>
        <v>#REF!</v>
      </c>
      <c r="D816" s="89" t="e">
        <f>+B816+C816</f>
        <v>#REF!</v>
      </c>
      <c r="F816" s="45"/>
      <c r="H816" s="39" t="s">
        <v>46</v>
      </c>
      <c r="I816" s="40"/>
    </row>
    <row r="817" spans="1:15" ht="15" customHeight="1" thickBot="1" x14ac:dyDescent="0.3">
      <c r="A817" s="90"/>
      <c r="B817" s="91" t="e">
        <f>SUM(B812:B816)</f>
        <v>#REF!</v>
      </c>
      <c r="C817" s="92" t="e">
        <f>SUM(C812:C816)</f>
        <v>#REF!</v>
      </c>
      <c r="D817" s="93" t="e">
        <f>SUM(D812:D816)</f>
        <v>#REF!</v>
      </c>
      <c r="H817" s="41" t="s">
        <v>47</v>
      </c>
    </row>
    <row r="818" spans="1:15" ht="15" customHeight="1" x14ac:dyDescent="0.25">
      <c r="A818" s="39" t="s">
        <v>46</v>
      </c>
      <c r="B818" s="40"/>
      <c r="H818" s="41" t="s">
        <v>48</v>
      </c>
    </row>
    <row r="819" spans="1:15" x14ac:dyDescent="0.25">
      <c r="A819" s="41" t="s">
        <v>47</v>
      </c>
      <c r="H819" s="41" t="s">
        <v>49</v>
      </c>
    </row>
    <row r="820" spans="1:15" ht="4.5" customHeight="1" x14ac:dyDescent="0.25">
      <c r="A820" s="41" t="s">
        <v>48</v>
      </c>
      <c r="H820" s="40"/>
      <c r="I820" s="40"/>
    </row>
    <row r="821" spans="1:15" ht="15" customHeight="1" x14ac:dyDescent="0.25">
      <c r="A821" s="41" t="s">
        <v>49</v>
      </c>
      <c r="H821" s="188" t="s">
        <v>320</v>
      </c>
      <c r="I821" s="189"/>
      <c r="N821" s="45"/>
    </row>
    <row r="822" spans="1:15" ht="14.25" customHeight="1" x14ac:dyDescent="0.25">
      <c r="A822" s="40"/>
      <c r="B822" s="40"/>
      <c r="H822" s="190" t="s">
        <v>394</v>
      </c>
      <c r="I822" s="189"/>
      <c r="N822" s="47"/>
    </row>
    <row r="823" spans="1:15" ht="16.5" x14ac:dyDescent="0.25">
      <c r="A823" s="45" t="s">
        <v>460</v>
      </c>
      <c r="G823" s="45"/>
      <c r="H823" s="326" t="s">
        <v>461</v>
      </c>
      <c r="I823" s="326"/>
      <c r="J823" s="326"/>
      <c r="K823" s="326"/>
      <c r="L823" s="326"/>
      <c r="M823" s="326"/>
      <c r="N823" s="326"/>
      <c r="O823" s="326"/>
    </row>
    <row r="824" spans="1:15" ht="9" customHeight="1" thickBot="1" x14ac:dyDescent="0.3">
      <c r="A824" s="47" t="s">
        <v>52</v>
      </c>
      <c r="G824" s="47"/>
    </row>
    <row r="825" spans="1:15" ht="16.5" x14ac:dyDescent="0.25">
      <c r="A825" s="326" t="s">
        <v>54</v>
      </c>
      <c r="B825" s="326"/>
      <c r="C825" s="326"/>
      <c r="D825" s="326"/>
      <c r="E825" s="326"/>
      <c r="F825" s="326"/>
      <c r="G825" s="326"/>
      <c r="H825" s="327" t="s">
        <v>462</v>
      </c>
      <c r="I825" s="322" t="s">
        <v>57</v>
      </c>
      <c r="J825" s="322" t="s">
        <v>58</v>
      </c>
      <c r="K825" s="322" t="s">
        <v>7</v>
      </c>
      <c r="L825" s="322" t="s">
        <v>59</v>
      </c>
      <c r="M825" s="322" t="s">
        <v>60</v>
      </c>
      <c r="N825" s="322" t="s">
        <v>61</v>
      </c>
      <c r="O825" s="324"/>
    </row>
    <row r="826" spans="1:15" ht="15.75" thickBot="1" x14ac:dyDescent="0.3">
      <c r="H826" s="328"/>
      <c r="I826" s="323"/>
      <c r="J826" s="323"/>
      <c r="K826" s="323"/>
      <c r="L826" s="323"/>
      <c r="M826" s="323"/>
      <c r="N826" s="51" t="s">
        <v>62</v>
      </c>
      <c r="O826" s="52" t="s">
        <v>63</v>
      </c>
    </row>
    <row r="827" spans="1:15" ht="14.25" customHeight="1" x14ac:dyDescent="0.25">
      <c r="A827" s="318" t="e">
        <f>+#REF!+1</f>
        <v>#REF!</v>
      </c>
      <c r="B827" s="312">
        <v>42317</v>
      </c>
      <c r="C827" s="314" t="s">
        <v>221</v>
      </c>
      <c r="D827" s="318" t="s">
        <v>463</v>
      </c>
      <c r="E827" s="318" t="s">
        <v>5</v>
      </c>
      <c r="F827" s="320">
        <v>252000</v>
      </c>
      <c r="G827" s="53">
        <v>719</v>
      </c>
      <c r="H827" s="310" t="s">
        <v>284</v>
      </c>
      <c r="I827" s="312">
        <v>45567</v>
      </c>
      <c r="J827" s="335" t="s">
        <v>188</v>
      </c>
      <c r="K827" s="316" t="s">
        <v>464</v>
      </c>
      <c r="L827" s="318" t="s">
        <v>66</v>
      </c>
      <c r="M827" s="320">
        <v>702000</v>
      </c>
      <c r="N827" s="53">
        <v>719</v>
      </c>
      <c r="O827" s="54">
        <v>520000</v>
      </c>
    </row>
    <row r="828" spans="1:15" ht="12.75" customHeight="1" thickBot="1" x14ac:dyDescent="0.3">
      <c r="A828" s="319"/>
      <c r="B828" s="313"/>
      <c r="C828" s="315"/>
      <c r="D828" s="319"/>
      <c r="E828" s="319"/>
      <c r="F828" s="321"/>
      <c r="G828" s="55">
        <v>721</v>
      </c>
      <c r="H828" s="311"/>
      <c r="I828" s="313"/>
      <c r="J828" s="336"/>
      <c r="K828" s="317"/>
      <c r="L828" s="319"/>
      <c r="M828" s="321"/>
      <c r="N828" s="55">
        <v>721</v>
      </c>
      <c r="O828" s="56">
        <f>+M827-O827</f>
        <v>182000</v>
      </c>
    </row>
    <row r="829" spans="1:15" ht="12.75" customHeight="1" x14ac:dyDescent="0.25">
      <c r="A829" s="318" t="e">
        <f>+A827+1</f>
        <v>#REF!</v>
      </c>
      <c r="B829" s="312">
        <v>42317</v>
      </c>
      <c r="C829" s="318" t="s">
        <v>70</v>
      </c>
      <c r="D829" s="318" t="s">
        <v>465</v>
      </c>
      <c r="E829" s="318" t="s">
        <v>5</v>
      </c>
      <c r="F829" s="320">
        <v>574000</v>
      </c>
      <c r="G829" s="53">
        <v>719</v>
      </c>
      <c r="H829" s="310" t="s">
        <v>287</v>
      </c>
      <c r="I829" s="312">
        <v>45567</v>
      </c>
      <c r="J829" s="314" t="s">
        <v>193</v>
      </c>
      <c r="K829" s="318" t="s">
        <v>466</v>
      </c>
      <c r="L829" s="318" t="s">
        <v>66</v>
      </c>
      <c r="M829" s="320">
        <v>1201500</v>
      </c>
      <c r="N829" s="53">
        <v>719</v>
      </c>
      <c r="O829" s="54">
        <v>890000</v>
      </c>
    </row>
    <row r="830" spans="1:15" ht="12.75" customHeight="1" thickBot="1" x14ac:dyDescent="0.3">
      <c r="A830" s="319"/>
      <c r="B830" s="313"/>
      <c r="C830" s="319"/>
      <c r="D830" s="319"/>
      <c r="E830" s="319"/>
      <c r="F830" s="321"/>
      <c r="G830" s="55">
        <v>721</v>
      </c>
      <c r="H830" s="311"/>
      <c r="I830" s="313"/>
      <c r="J830" s="315"/>
      <c r="K830" s="319"/>
      <c r="L830" s="319"/>
      <c r="M830" s="321"/>
      <c r="N830" s="55">
        <v>721</v>
      </c>
      <c r="O830" s="56">
        <f>+M829-O829</f>
        <v>311500</v>
      </c>
    </row>
    <row r="831" spans="1:15" ht="12.75" customHeight="1" x14ac:dyDescent="0.25">
      <c r="A831" s="318" t="e">
        <f>+A829+1</f>
        <v>#REF!</v>
      </c>
      <c r="B831" s="312">
        <v>42317</v>
      </c>
      <c r="C831" s="314" t="s">
        <v>106</v>
      </c>
      <c r="D831" s="318" t="s">
        <v>467</v>
      </c>
      <c r="E831" s="318" t="s">
        <v>5</v>
      </c>
      <c r="F831" s="320">
        <v>28000</v>
      </c>
      <c r="G831" s="53">
        <v>719</v>
      </c>
      <c r="H831" s="310" t="s">
        <v>291</v>
      </c>
      <c r="I831" s="312">
        <v>45567</v>
      </c>
      <c r="J831" s="314" t="s">
        <v>68</v>
      </c>
      <c r="K831" s="318" t="s">
        <v>468</v>
      </c>
      <c r="L831" s="318" t="s">
        <v>5</v>
      </c>
      <c r="M831" s="320">
        <v>1010000</v>
      </c>
      <c r="N831" s="53">
        <v>719</v>
      </c>
      <c r="O831" s="54">
        <v>1010000</v>
      </c>
    </row>
    <row r="832" spans="1:15" ht="13.5" customHeight="1" thickBot="1" x14ac:dyDescent="0.3">
      <c r="A832" s="319"/>
      <c r="B832" s="313"/>
      <c r="C832" s="315"/>
      <c r="D832" s="319"/>
      <c r="E832" s="319"/>
      <c r="F832" s="321"/>
      <c r="G832" s="55">
        <v>721</v>
      </c>
      <c r="H832" s="311"/>
      <c r="I832" s="313"/>
      <c r="J832" s="315"/>
      <c r="K832" s="319"/>
      <c r="L832" s="319"/>
      <c r="M832" s="321"/>
      <c r="N832" s="55">
        <v>721</v>
      </c>
      <c r="O832" s="56">
        <f>+M831-O831</f>
        <v>0</v>
      </c>
    </row>
    <row r="833" spans="1:15" ht="13.5" customHeight="1" x14ac:dyDescent="0.25">
      <c r="A833" s="57"/>
      <c r="B833" s="58"/>
      <c r="C833" s="103"/>
      <c r="D833" s="57"/>
      <c r="E833" s="57"/>
      <c r="F833" s="60"/>
      <c r="G833" s="61"/>
      <c r="H833" s="310" t="s">
        <v>308</v>
      </c>
      <c r="I833" s="312">
        <v>45567</v>
      </c>
      <c r="J833" s="314" t="s">
        <v>288</v>
      </c>
      <c r="K833" s="318" t="s">
        <v>466</v>
      </c>
      <c r="L833" s="318" t="s">
        <v>5</v>
      </c>
      <c r="M833" s="320">
        <v>1332600</v>
      </c>
      <c r="N833" s="53">
        <v>719</v>
      </c>
      <c r="O833" s="54"/>
    </row>
    <row r="834" spans="1:15" ht="13.5" customHeight="1" thickBot="1" x14ac:dyDescent="0.3">
      <c r="A834" s="57"/>
      <c r="B834" s="58"/>
      <c r="C834" s="103"/>
      <c r="D834" s="57"/>
      <c r="E834" s="57"/>
      <c r="F834" s="60"/>
      <c r="G834" s="61"/>
      <c r="H834" s="311"/>
      <c r="I834" s="313"/>
      <c r="J834" s="315"/>
      <c r="K834" s="319"/>
      <c r="L834" s="319"/>
      <c r="M834" s="321"/>
      <c r="N834" s="55">
        <v>723</v>
      </c>
      <c r="O834" s="56">
        <f>+M833</f>
        <v>1332600</v>
      </c>
    </row>
    <row r="835" spans="1:15" ht="12" customHeight="1" x14ac:dyDescent="0.25">
      <c r="A835" s="318" t="e">
        <f>+A831+1</f>
        <v>#REF!</v>
      </c>
      <c r="B835" s="312">
        <v>42317</v>
      </c>
      <c r="C835" s="314" t="s">
        <v>231</v>
      </c>
      <c r="D835" s="318" t="s">
        <v>469</v>
      </c>
      <c r="E835" s="318" t="s">
        <v>5</v>
      </c>
      <c r="F835" s="320">
        <v>140000</v>
      </c>
      <c r="G835" s="53">
        <v>719</v>
      </c>
      <c r="H835" s="310"/>
      <c r="I835" s="312"/>
      <c r="J835" s="314"/>
      <c r="K835" s="318"/>
      <c r="L835" s="318"/>
      <c r="M835" s="320"/>
      <c r="N835" s="53">
        <v>719</v>
      </c>
      <c r="O835" s="54"/>
    </row>
    <row r="836" spans="1:15" ht="12.75" customHeight="1" thickBot="1" x14ac:dyDescent="0.3">
      <c r="A836" s="319"/>
      <c r="B836" s="313"/>
      <c r="C836" s="315"/>
      <c r="D836" s="319"/>
      <c r="E836" s="319"/>
      <c r="F836" s="321"/>
      <c r="G836" s="55">
        <v>721</v>
      </c>
      <c r="H836" s="311"/>
      <c r="I836" s="313"/>
      <c r="J836" s="315"/>
      <c r="K836" s="319"/>
      <c r="L836" s="319"/>
      <c r="M836" s="321"/>
      <c r="N836" s="55">
        <v>723</v>
      </c>
      <c r="O836" s="56">
        <f>+M835</f>
        <v>0</v>
      </c>
    </row>
    <row r="837" spans="1:15" ht="15" customHeight="1" thickBot="1" x14ac:dyDescent="0.3">
      <c r="A837" s="318" t="e">
        <f>+A835+1</f>
        <v>#REF!</v>
      </c>
      <c r="B837" s="312">
        <v>42317</v>
      </c>
      <c r="C837" s="314" t="s">
        <v>297</v>
      </c>
      <c r="D837" s="318" t="s">
        <v>463</v>
      </c>
      <c r="E837" s="318" t="s">
        <v>5</v>
      </c>
      <c r="F837" s="320">
        <v>756000</v>
      </c>
      <c r="G837" s="53">
        <v>719</v>
      </c>
      <c r="H837" s="297" t="s">
        <v>80</v>
      </c>
      <c r="I837" s="298"/>
      <c r="J837" s="298"/>
      <c r="K837" s="298"/>
      <c r="L837" s="299"/>
      <c r="M837" s="62">
        <f>SUM(M827:M836)</f>
        <v>4246100</v>
      </c>
    </row>
    <row r="838" spans="1:15" ht="15.75" customHeight="1" thickBot="1" x14ac:dyDescent="0.3">
      <c r="A838" s="319"/>
      <c r="B838" s="313"/>
      <c r="C838" s="315"/>
      <c r="D838" s="319"/>
      <c r="E838" s="319"/>
      <c r="F838" s="321"/>
      <c r="G838" s="55">
        <v>721</v>
      </c>
      <c r="H838" s="300" t="s">
        <v>81</v>
      </c>
      <c r="I838" s="301"/>
      <c r="J838" s="301"/>
      <c r="K838" s="301"/>
      <c r="L838" s="302"/>
      <c r="M838" s="106">
        <f>+M802</f>
        <v>384121986</v>
      </c>
      <c r="N838" s="64" t="s">
        <v>82</v>
      </c>
      <c r="O838" s="65"/>
    </row>
    <row r="839" spans="1:15" ht="16.5" thickBot="1" x14ac:dyDescent="0.3">
      <c r="A839" s="297" t="s">
        <v>80</v>
      </c>
      <c r="B839" s="298"/>
      <c r="C839" s="298"/>
      <c r="D839" s="298"/>
      <c r="E839" s="299"/>
      <c r="F839" s="62">
        <f>SUM(F827:F838)</f>
        <v>1750000</v>
      </c>
      <c r="H839" s="303" t="s">
        <v>83</v>
      </c>
      <c r="I839" s="304"/>
      <c r="J839" s="304"/>
      <c r="K839" s="304"/>
      <c r="L839" s="305"/>
      <c r="M839" s="66">
        <f>SUM(M837:M838)</f>
        <v>388368086</v>
      </c>
    </row>
    <row r="840" spans="1:15" ht="6.75" customHeight="1" thickBot="1" x14ac:dyDescent="0.3">
      <c r="A840" s="300" t="s">
        <v>81</v>
      </c>
      <c r="B840" s="301"/>
      <c r="C840" s="301"/>
      <c r="D840" s="301"/>
      <c r="E840" s="302"/>
      <c r="F840" s="63" t="e">
        <f>+F804</f>
        <v>#REF!</v>
      </c>
      <c r="H840" s="67"/>
      <c r="I840" s="67"/>
      <c r="J840" s="67"/>
      <c r="K840" s="67"/>
      <c r="L840" s="67"/>
    </row>
    <row r="841" spans="1:15" ht="16.5" thickBot="1" x14ac:dyDescent="0.3">
      <c r="A841" s="303" t="s">
        <v>83</v>
      </c>
      <c r="B841" s="304"/>
      <c r="C841" s="304"/>
      <c r="D841" s="304"/>
      <c r="E841" s="305"/>
      <c r="F841" s="66" t="e">
        <f>SUM(F839:F840)</f>
        <v>#REF!</v>
      </c>
      <c r="H841" s="41" t="s">
        <v>470</v>
      </c>
    </row>
    <row r="842" spans="1:15" ht="6" customHeight="1" x14ac:dyDescent="0.25">
      <c r="A842" s="67"/>
      <c r="B842" s="67"/>
      <c r="C842" s="67"/>
      <c r="D842" s="67"/>
      <c r="E842" s="67"/>
      <c r="M842" s="68"/>
    </row>
    <row r="843" spans="1:15" x14ac:dyDescent="0.25">
      <c r="A843" s="41" t="s">
        <v>471</v>
      </c>
      <c r="H843" s="40" t="s">
        <v>86</v>
      </c>
      <c r="K843" s="69"/>
      <c r="M843" s="68"/>
    </row>
    <row r="844" spans="1:15" ht="7.5" customHeight="1" thickBot="1" x14ac:dyDescent="0.3">
      <c r="F844" s="68"/>
    </row>
    <row r="845" spans="1:15" ht="15.75" thickBot="1" x14ac:dyDescent="0.3">
      <c r="A845" s="40" t="s">
        <v>86</v>
      </c>
      <c r="D845" s="69"/>
      <c r="F845" s="68"/>
      <c r="H845" s="306" t="s">
        <v>87</v>
      </c>
      <c r="I845" s="307"/>
      <c r="J845" s="307"/>
      <c r="K845" s="308"/>
    </row>
    <row r="846" spans="1:15" ht="28.5" customHeight="1" thickBot="1" x14ac:dyDescent="0.3">
      <c r="H846" s="70" t="s">
        <v>62</v>
      </c>
      <c r="I846" s="71" t="s">
        <v>90</v>
      </c>
      <c r="J846" s="111" t="s">
        <v>91</v>
      </c>
      <c r="K846" s="73" t="s">
        <v>92</v>
      </c>
      <c r="M846" s="124"/>
      <c r="N846" s="124"/>
      <c r="O846" s="124"/>
    </row>
    <row r="847" spans="1:15" ht="15" customHeight="1" thickBot="1" x14ac:dyDescent="0.3">
      <c r="A847" s="306" t="s">
        <v>87</v>
      </c>
      <c r="B847" s="307"/>
      <c r="C847" s="307"/>
      <c r="D847" s="308"/>
      <c r="F847" s="40" t="s">
        <v>89</v>
      </c>
      <c r="H847" s="75">
        <v>719</v>
      </c>
      <c r="I847" s="76">
        <f>+O827+O829+O831</f>
        <v>2420000</v>
      </c>
      <c r="J847" s="77">
        <f>+K810</f>
        <v>51856000</v>
      </c>
      <c r="K847" s="79">
        <f>+I847+J847</f>
        <v>54276000</v>
      </c>
      <c r="M847" s="357" t="s">
        <v>89</v>
      </c>
      <c r="N847" s="357"/>
      <c r="O847" s="357"/>
    </row>
    <row r="848" spans="1:15" ht="14.25" customHeight="1" thickBot="1" x14ac:dyDescent="0.3">
      <c r="A848" s="70" t="s">
        <v>62</v>
      </c>
      <c r="B848" s="71" t="s">
        <v>90</v>
      </c>
      <c r="C848" s="72" t="s">
        <v>91</v>
      </c>
      <c r="D848" s="73" t="s">
        <v>92</v>
      </c>
      <c r="H848" s="80">
        <v>721</v>
      </c>
      <c r="I848" s="192">
        <f>+O828+O830</f>
        <v>493500</v>
      </c>
      <c r="J848" s="77">
        <f>+K811</f>
        <v>10400500</v>
      </c>
      <c r="K848" s="79">
        <f>+I848+J848</f>
        <v>10894000</v>
      </c>
      <c r="M848" s="124"/>
      <c r="N848" s="124"/>
      <c r="O848" s="124"/>
    </row>
    <row r="849" spans="1:15" ht="14.25" customHeight="1" x14ac:dyDescent="0.25">
      <c r="A849" s="75">
        <v>719</v>
      </c>
      <c r="B849" s="76" t="e">
        <f>+#REF!+#REF!+#REF!+#REF!+#REF!</f>
        <v>#REF!</v>
      </c>
      <c r="C849" s="77" t="e">
        <f>+D812</f>
        <v>#REF!</v>
      </c>
      <c r="D849" s="79" t="e">
        <f>+B849+C849</f>
        <v>#REF!</v>
      </c>
      <c r="H849" s="80">
        <v>722</v>
      </c>
      <c r="I849" s="192"/>
      <c r="J849" s="77">
        <f>+K812</f>
        <v>0</v>
      </c>
      <c r="K849" s="79">
        <f>+I849+J849</f>
        <v>0</v>
      </c>
      <c r="M849" s="195"/>
      <c r="N849" s="195"/>
      <c r="O849" s="195"/>
    </row>
    <row r="850" spans="1:15" ht="14.25" customHeight="1" thickBot="1" x14ac:dyDescent="0.3">
      <c r="A850" s="80">
        <v>721</v>
      </c>
      <c r="B850" s="81" t="e">
        <f>+#REF!+#REF!+#REF!+#REF!+#REF!</f>
        <v>#REF!</v>
      </c>
      <c r="C850" s="77" t="e">
        <f>+D813</f>
        <v>#REF!</v>
      </c>
      <c r="D850" s="79" t="e">
        <f>+B850+C850</f>
        <v>#REF!</v>
      </c>
      <c r="H850" s="80">
        <v>723</v>
      </c>
      <c r="I850" s="192">
        <f>+O834</f>
        <v>1332600</v>
      </c>
      <c r="J850" s="77">
        <f>+K813</f>
        <v>321865486</v>
      </c>
      <c r="K850" s="79">
        <f>+I850+J850</f>
        <v>323198086</v>
      </c>
      <c r="M850" s="195"/>
      <c r="N850" s="195"/>
      <c r="O850" s="195"/>
    </row>
    <row r="851" spans="1:15" ht="15" hidden="1" customHeight="1" x14ac:dyDescent="0.25">
      <c r="A851" s="80">
        <v>722</v>
      </c>
      <c r="B851" s="81"/>
      <c r="C851" s="77" t="e">
        <f>+D814</f>
        <v>#REF!</v>
      </c>
      <c r="D851" s="79" t="e">
        <f>+B851+C851</f>
        <v>#REF!</v>
      </c>
      <c r="H851" s="85" t="s">
        <v>94</v>
      </c>
      <c r="I851" s="86"/>
      <c r="J851" s="77" t="e">
        <f>+K814</f>
        <v>#REF!</v>
      </c>
      <c r="K851" s="89" t="e">
        <f>+I851+J851</f>
        <v>#REF!</v>
      </c>
      <c r="M851" s="343"/>
      <c r="N851" s="343"/>
      <c r="O851" s="343"/>
    </row>
    <row r="852" spans="1:15" ht="16.5" thickBot="1" x14ac:dyDescent="0.3">
      <c r="A852" s="80">
        <v>723</v>
      </c>
      <c r="B852" s="81"/>
      <c r="C852" s="77" t="e">
        <f>+D815</f>
        <v>#REF!</v>
      </c>
      <c r="D852" s="79" t="e">
        <f>+B852+C852</f>
        <v>#REF!</v>
      </c>
      <c r="F852" s="83" t="s">
        <v>93</v>
      </c>
      <c r="G852" s="84"/>
      <c r="H852" s="90"/>
      <c r="I852" s="94">
        <f>SUM(I847:I851)</f>
        <v>4246100</v>
      </c>
      <c r="J852" s="94" t="e">
        <f>SUM(J847:J851)</f>
        <v>#REF!</v>
      </c>
      <c r="K852" s="95" t="e">
        <f>SUM(K847:K851)</f>
        <v>#REF!</v>
      </c>
      <c r="M852" s="343"/>
      <c r="N852" s="343"/>
      <c r="O852" s="343"/>
    </row>
    <row r="853" spans="1:15" ht="17.25" thickBot="1" x14ac:dyDescent="0.3">
      <c r="A853" s="85" t="s">
        <v>94</v>
      </c>
      <c r="B853" s="86"/>
      <c r="C853" s="77" t="e">
        <f>+D816</f>
        <v>#REF!</v>
      </c>
      <c r="D853" s="89" t="e">
        <f>+B853+C853</f>
        <v>#REF!</v>
      </c>
      <c r="F853" s="45"/>
      <c r="H853" s="39" t="s">
        <v>46</v>
      </c>
      <c r="I853" s="40"/>
    </row>
    <row r="854" spans="1:15" ht="16.5" thickBot="1" x14ac:dyDescent="0.3">
      <c r="A854" s="90"/>
      <c r="B854" s="91" t="e">
        <f>SUM(B849:B853)</f>
        <v>#REF!</v>
      </c>
      <c r="C854" s="92" t="e">
        <f>SUM(C849:C853)</f>
        <v>#REF!</v>
      </c>
      <c r="D854" s="93" t="e">
        <f>SUM(D849:D853)</f>
        <v>#REF!</v>
      </c>
      <c r="H854" s="41" t="s">
        <v>47</v>
      </c>
    </row>
    <row r="855" spans="1:15" ht="16.5" x14ac:dyDescent="0.25">
      <c r="A855" s="39" t="s">
        <v>46</v>
      </c>
      <c r="B855" s="40"/>
      <c r="H855" s="41" t="s">
        <v>48</v>
      </c>
    </row>
    <row r="856" spans="1:15" x14ac:dyDescent="0.25">
      <c r="A856" s="41" t="s">
        <v>47</v>
      </c>
      <c r="H856" s="41" t="s">
        <v>49</v>
      </c>
    </row>
    <row r="857" spans="1:15" ht="4.5" customHeight="1" x14ac:dyDescent="0.25">
      <c r="A857" s="41" t="s">
        <v>48</v>
      </c>
      <c r="H857" s="40"/>
      <c r="I857" s="40"/>
    </row>
    <row r="858" spans="1:15" ht="15" customHeight="1" x14ac:dyDescent="0.25">
      <c r="A858" s="41" t="s">
        <v>49</v>
      </c>
      <c r="H858" s="188" t="s">
        <v>339</v>
      </c>
      <c r="I858" s="189"/>
      <c r="N858" s="45"/>
    </row>
    <row r="859" spans="1:15" ht="14.25" customHeight="1" x14ac:dyDescent="0.25">
      <c r="A859" s="40"/>
      <c r="B859" s="40"/>
      <c r="H859" s="190" t="s">
        <v>394</v>
      </c>
      <c r="I859" s="189"/>
      <c r="N859" s="47"/>
    </row>
    <row r="860" spans="1:15" ht="16.5" x14ac:dyDescent="0.25">
      <c r="A860" s="45" t="s">
        <v>472</v>
      </c>
      <c r="G860" s="45"/>
      <c r="H860" s="326" t="s">
        <v>116</v>
      </c>
      <c r="I860" s="326"/>
      <c r="J860" s="326"/>
      <c r="K860" s="326"/>
      <c r="L860" s="326"/>
      <c r="M860" s="326"/>
      <c r="N860" s="326"/>
      <c r="O860" s="326"/>
    </row>
    <row r="861" spans="1:15" ht="9.75" customHeight="1" thickBot="1" x14ac:dyDescent="0.3">
      <c r="A861" s="47" t="s">
        <v>52</v>
      </c>
      <c r="G861" s="47"/>
    </row>
    <row r="862" spans="1:15" ht="16.5" x14ac:dyDescent="0.25">
      <c r="A862" s="326" t="s">
        <v>54</v>
      </c>
      <c r="B862" s="326"/>
      <c r="C862" s="326"/>
      <c r="D862" s="326"/>
      <c r="E862" s="326"/>
      <c r="F862" s="326"/>
      <c r="G862" s="326"/>
      <c r="H862" s="327" t="s">
        <v>56</v>
      </c>
      <c r="I862" s="322" t="s">
        <v>57</v>
      </c>
      <c r="J862" s="322" t="s">
        <v>58</v>
      </c>
      <c r="K862" s="322" t="s">
        <v>7</v>
      </c>
      <c r="L862" s="322" t="s">
        <v>59</v>
      </c>
      <c r="M862" s="322" t="s">
        <v>60</v>
      </c>
      <c r="N862" s="322" t="s">
        <v>61</v>
      </c>
      <c r="O862" s="324"/>
    </row>
    <row r="863" spans="1:15" ht="12.75" customHeight="1" thickBot="1" x14ac:dyDescent="0.3">
      <c r="H863" s="328"/>
      <c r="I863" s="323"/>
      <c r="J863" s="323"/>
      <c r="K863" s="323"/>
      <c r="L863" s="323"/>
      <c r="M863" s="323"/>
      <c r="N863" s="51" t="s">
        <v>62</v>
      </c>
      <c r="O863" s="52" t="s">
        <v>63</v>
      </c>
    </row>
    <row r="864" spans="1:15" ht="14.25" customHeight="1" x14ac:dyDescent="0.25">
      <c r="A864" s="327" t="s">
        <v>56</v>
      </c>
      <c r="B864" s="322" t="s">
        <v>57</v>
      </c>
      <c r="C864" s="322" t="s">
        <v>58</v>
      </c>
      <c r="D864" s="322" t="s">
        <v>7</v>
      </c>
      <c r="E864" s="322" t="s">
        <v>59</v>
      </c>
      <c r="F864" s="322" t="s">
        <v>60</v>
      </c>
      <c r="G864" s="50" t="s">
        <v>61</v>
      </c>
      <c r="H864" s="354">
        <v>109</v>
      </c>
      <c r="I864" s="312">
        <v>45594</v>
      </c>
      <c r="J864" s="314" t="s">
        <v>136</v>
      </c>
      <c r="K864" s="318" t="s">
        <v>473</v>
      </c>
      <c r="L864" s="318" t="s">
        <v>5</v>
      </c>
      <c r="M864" s="320">
        <v>500000</v>
      </c>
      <c r="N864" s="53">
        <v>719</v>
      </c>
      <c r="O864" s="54">
        <f>+M864</f>
        <v>500000</v>
      </c>
    </row>
    <row r="865" spans="1:15" ht="11.25" customHeight="1" thickBot="1" x14ac:dyDescent="0.3">
      <c r="A865" s="328"/>
      <c r="B865" s="323"/>
      <c r="C865" s="323"/>
      <c r="D865" s="323"/>
      <c r="E865" s="323"/>
      <c r="F865" s="323"/>
      <c r="G865" s="51" t="s">
        <v>62</v>
      </c>
      <c r="H865" s="355"/>
      <c r="I865" s="313"/>
      <c r="J865" s="315"/>
      <c r="K865" s="319"/>
      <c r="L865" s="319"/>
      <c r="M865" s="321"/>
      <c r="N865" s="55">
        <v>721</v>
      </c>
      <c r="O865" s="56">
        <v>0</v>
      </c>
    </row>
    <row r="866" spans="1:15" ht="12" customHeight="1" x14ac:dyDescent="0.25">
      <c r="A866" s="318" t="e">
        <f>+A837+1</f>
        <v>#REF!</v>
      </c>
      <c r="B866" s="312">
        <v>42317</v>
      </c>
      <c r="C866" s="314" t="s">
        <v>297</v>
      </c>
      <c r="D866" s="318" t="s">
        <v>474</v>
      </c>
      <c r="E866" s="318" t="s">
        <v>66</v>
      </c>
      <c r="F866" s="320">
        <v>210000</v>
      </c>
      <c r="G866" s="53">
        <v>719</v>
      </c>
      <c r="H866" s="354">
        <f>+H864+1</f>
        <v>110</v>
      </c>
      <c r="I866" s="312">
        <v>45594</v>
      </c>
      <c r="J866" s="314" t="s">
        <v>136</v>
      </c>
      <c r="K866" s="352" t="s">
        <v>475</v>
      </c>
      <c r="L866" s="318" t="s">
        <v>5</v>
      </c>
      <c r="M866" s="320">
        <v>520000</v>
      </c>
      <c r="N866" s="53">
        <v>719</v>
      </c>
      <c r="O866" s="54">
        <f>+M866</f>
        <v>520000</v>
      </c>
    </row>
    <row r="867" spans="1:15" ht="12" customHeight="1" thickBot="1" x14ac:dyDescent="0.3">
      <c r="A867" s="319"/>
      <c r="B867" s="313"/>
      <c r="C867" s="315"/>
      <c r="D867" s="319"/>
      <c r="E867" s="319"/>
      <c r="F867" s="321"/>
      <c r="G867" s="55">
        <v>721</v>
      </c>
      <c r="H867" s="355"/>
      <c r="I867" s="313"/>
      <c r="J867" s="315"/>
      <c r="K867" s="353"/>
      <c r="L867" s="319"/>
      <c r="M867" s="321"/>
      <c r="N867" s="55">
        <v>721</v>
      </c>
      <c r="O867" s="56"/>
    </row>
    <row r="868" spans="1:15" ht="13.5" customHeight="1" x14ac:dyDescent="0.25">
      <c r="A868" s="318" t="e">
        <f>+A866+1</f>
        <v>#REF!</v>
      </c>
      <c r="B868" s="312">
        <v>42317</v>
      </c>
      <c r="C868" s="318" t="s">
        <v>70</v>
      </c>
      <c r="D868" s="318" t="s">
        <v>476</v>
      </c>
      <c r="E868" s="318" t="s">
        <v>66</v>
      </c>
      <c r="F868" s="320">
        <v>20000</v>
      </c>
      <c r="G868" s="53">
        <v>719</v>
      </c>
      <c r="H868" s="354">
        <f>+H866+1</f>
        <v>111</v>
      </c>
      <c r="I868" s="312">
        <v>45594</v>
      </c>
      <c r="J868" s="314" t="s">
        <v>68</v>
      </c>
      <c r="K868" s="318" t="s">
        <v>477</v>
      </c>
      <c r="L868" s="318" t="s">
        <v>5</v>
      </c>
      <c r="M868" s="320">
        <v>520000</v>
      </c>
      <c r="N868" s="53">
        <v>719</v>
      </c>
      <c r="O868" s="54">
        <f>+M868</f>
        <v>520000</v>
      </c>
    </row>
    <row r="869" spans="1:15" ht="12.75" customHeight="1" thickBot="1" x14ac:dyDescent="0.3">
      <c r="A869" s="319"/>
      <c r="B869" s="313"/>
      <c r="C869" s="319"/>
      <c r="D869" s="319"/>
      <c r="E869" s="319"/>
      <c r="F869" s="321"/>
      <c r="G869" s="55">
        <v>721</v>
      </c>
      <c r="H869" s="355"/>
      <c r="I869" s="313"/>
      <c r="J869" s="315"/>
      <c r="K869" s="319"/>
      <c r="L869" s="319"/>
      <c r="M869" s="321"/>
      <c r="N869" s="55">
        <v>721</v>
      </c>
      <c r="O869" s="56"/>
    </row>
    <row r="870" spans="1:15" ht="13.5" customHeight="1" x14ac:dyDescent="0.25">
      <c r="A870" s="318" t="e">
        <f>+A868+1</f>
        <v>#REF!</v>
      </c>
      <c r="B870" s="312">
        <v>42317</v>
      </c>
      <c r="C870" s="314" t="s">
        <v>106</v>
      </c>
      <c r="D870" s="318" t="s">
        <v>478</v>
      </c>
      <c r="E870" s="318" t="s">
        <v>66</v>
      </c>
      <c r="F870" s="320">
        <v>30000</v>
      </c>
      <c r="G870" s="53">
        <v>719</v>
      </c>
      <c r="H870" s="354">
        <f>+H868+1</f>
        <v>112</v>
      </c>
      <c r="I870" s="312">
        <v>45594</v>
      </c>
      <c r="J870" s="314" t="s">
        <v>68</v>
      </c>
      <c r="K870" s="318" t="s">
        <v>479</v>
      </c>
      <c r="L870" s="318" t="s">
        <v>5</v>
      </c>
      <c r="M870" s="320">
        <v>510000</v>
      </c>
      <c r="N870" s="53">
        <v>719</v>
      </c>
      <c r="O870" s="54">
        <f>+M870</f>
        <v>510000</v>
      </c>
    </row>
    <row r="871" spans="1:15" ht="12" customHeight="1" thickBot="1" x14ac:dyDescent="0.3">
      <c r="A871" s="319"/>
      <c r="B871" s="313"/>
      <c r="C871" s="315"/>
      <c r="D871" s="319"/>
      <c r="E871" s="319"/>
      <c r="F871" s="321"/>
      <c r="G871" s="55">
        <v>721</v>
      </c>
      <c r="H871" s="355"/>
      <c r="I871" s="313"/>
      <c r="J871" s="315"/>
      <c r="K871" s="319"/>
      <c r="L871" s="319"/>
      <c r="M871" s="321"/>
      <c r="N871" s="55">
        <v>721</v>
      </c>
      <c r="O871" s="56"/>
    </row>
    <row r="872" spans="1:15" ht="13.5" customHeight="1" x14ac:dyDescent="0.25">
      <c r="A872" s="57"/>
      <c r="B872" s="58"/>
      <c r="C872" s="103"/>
      <c r="D872" s="57"/>
      <c r="E872" s="57"/>
      <c r="F872" s="60"/>
      <c r="G872" s="61"/>
      <c r="H872" s="354">
        <f>+H870+1</f>
        <v>113</v>
      </c>
      <c r="I872" s="312">
        <v>45594</v>
      </c>
      <c r="J872" s="314" t="s">
        <v>68</v>
      </c>
      <c r="K872" s="318" t="s">
        <v>480</v>
      </c>
      <c r="L872" s="318" t="s">
        <v>5</v>
      </c>
      <c r="M872" s="320">
        <v>500000</v>
      </c>
      <c r="N872" s="53">
        <v>719</v>
      </c>
      <c r="O872" s="54">
        <f>+M872-O873</f>
        <v>500000</v>
      </c>
    </row>
    <row r="873" spans="1:15" ht="10.5" customHeight="1" thickBot="1" x14ac:dyDescent="0.3">
      <c r="A873" s="57"/>
      <c r="B873" s="58"/>
      <c r="C873" s="103"/>
      <c r="D873" s="57"/>
      <c r="E873" s="57"/>
      <c r="F873" s="60"/>
      <c r="G873" s="61"/>
      <c r="H873" s="355"/>
      <c r="I873" s="313"/>
      <c r="J873" s="315"/>
      <c r="K873" s="319"/>
      <c r="L873" s="319"/>
      <c r="M873" s="321"/>
      <c r="N873" s="55">
        <v>721</v>
      </c>
      <c r="O873" s="56"/>
    </row>
    <row r="874" spans="1:15" ht="12" customHeight="1" x14ac:dyDescent="0.25">
      <c r="A874" s="318" t="e">
        <f>+A870+1</f>
        <v>#REF!</v>
      </c>
      <c r="B874" s="312">
        <v>42317</v>
      </c>
      <c r="C874" s="318" t="s">
        <v>70</v>
      </c>
      <c r="D874" s="318" t="s">
        <v>481</v>
      </c>
      <c r="E874" s="318" t="s">
        <v>66</v>
      </c>
      <c r="F874" s="320">
        <v>30000</v>
      </c>
      <c r="G874" s="53">
        <v>719</v>
      </c>
      <c r="H874" s="354">
        <f>+H872+1</f>
        <v>114</v>
      </c>
      <c r="I874" s="312">
        <v>45594</v>
      </c>
      <c r="J874" s="314" t="s">
        <v>251</v>
      </c>
      <c r="K874" s="318" t="s">
        <v>482</v>
      </c>
      <c r="L874" s="318" t="s">
        <v>66</v>
      </c>
      <c r="M874" s="320">
        <v>1107000</v>
      </c>
      <c r="N874" s="53">
        <v>719</v>
      </c>
      <c r="O874" s="54">
        <v>820000</v>
      </c>
    </row>
    <row r="875" spans="1:15" ht="12" customHeight="1" thickBot="1" x14ac:dyDescent="0.3">
      <c r="A875" s="319"/>
      <c r="B875" s="313"/>
      <c r="C875" s="319"/>
      <c r="D875" s="319"/>
      <c r="E875" s="319"/>
      <c r="F875" s="321"/>
      <c r="G875" s="55">
        <v>721</v>
      </c>
      <c r="H875" s="355"/>
      <c r="I875" s="313"/>
      <c r="J875" s="315"/>
      <c r="K875" s="319"/>
      <c r="L875" s="319"/>
      <c r="M875" s="321"/>
      <c r="N875" s="55">
        <v>721</v>
      </c>
      <c r="O875" s="56">
        <f>+M874-O874</f>
        <v>287000</v>
      </c>
    </row>
    <row r="876" spans="1:15" ht="15" customHeight="1" thickBot="1" x14ac:dyDescent="0.3">
      <c r="A876" s="318" t="e">
        <f>+A874+1</f>
        <v>#REF!</v>
      </c>
      <c r="B876" s="312">
        <v>42317</v>
      </c>
      <c r="C876" s="314" t="s">
        <v>297</v>
      </c>
      <c r="D876" s="318" t="s">
        <v>483</v>
      </c>
      <c r="E876" s="318" t="s">
        <v>66</v>
      </c>
      <c r="F876" s="320">
        <v>50000</v>
      </c>
      <c r="G876" s="53">
        <v>719</v>
      </c>
      <c r="H876" s="297" t="s">
        <v>80</v>
      </c>
      <c r="I876" s="298"/>
      <c r="J876" s="298"/>
      <c r="K876" s="298"/>
      <c r="L876" s="299"/>
      <c r="M876" s="62">
        <f>SUM(M864:M875)</f>
        <v>3657000</v>
      </c>
    </row>
    <row r="877" spans="1:15" ht="15.75" customHeight="1" thickBot="1" x14ac:dyDescent="0.3">
      <c r="A877" s="319"/>
      <c r="B877" s="313"/>
      <c r="C877" s="315"/>
      <c r="D877" s="319"/>
      <c r="E877" s="319"/>
      <c r="F877" s="321"/>
      <c r="G877" s="55">
        <v>721</v>
      </c>
      <c r="H877" s="300" t="s">
        <v>81</v>
      </c>
      <c r="I877" s="301"/>
      <c r="J877" s="301"/>
      <c r="K877" s="301"/>
      <c r="L877" s="302"/>
      <c r="M877" s="106">
        <f>+M839</f>
        <v>388368086</v>
      </c>
      <c r="N877" s="64" t="s">
        <v>82</v>
      </c>
      <c r="O877" s="65">
        <v>5845</v>
      </c>
    </row>
    <row r="878" spans="1:15" ht="16.5" thickBot="1" x14ac:dyDescent="0.3">
      <c r="A878" s="297" t="s">
        <v>80</v>
      </c>
      <c r="B878" s="298"/>
      <c r="C878" s="298"/>
      <c r="D878" s="298"/>
      <c r="E878" s="299"/>
      <c r="F878" s="62">
        <f>SUM(F866:F877)</f>
        <v>340000</v>
      </c>
      <c r="H878" s="303" t="s">
        <v>83</v>
      </c>
      <c r="I878" s="304"/>
      <c r="J878" s="304"/>
      <c r="K878" s="304"/>
      <c r="L878" s="305"/>
      <c r="M878" s="66">
        <f>SUM(M876:M877)</f>
        <v>392025086</v>
      </c>
    </row>
    <row r="879" spans="1:15" ht="5.25" customHeight="1" thickBot="1" x14ac:dyDescent="0.3">
      <c r="A879" s="300" t="s">
        <v>81</v>
      </c>
      <c r="B879" s="301"/>
      <c r="C879" s="301"/>
      <c r="D879" s="301"/>
      <c r="E879" s="302"/>
      <c r="F879" s="63" t="e">
        <f>+F841</f>
        <v>#REF!</v>
      </c>
      <c r="H879" s="67"/>
      <c r="I879" s="67"/>
      <c r="J879" s="67"/>
      <c r="K879" s="67"/>
      <c r="L879" s="67"/>
    </row>
    <row r="880" spans="1:15" ht="16.5" thickBot="1" x14ac:dyDescent="0.3">
      <c r="A880" s="303" t="s">
        <v>83</v>
      </c>
      <c r="B880" s="304"/>
      <c r="C880" s="304"/>
      <c r="D880" s="304"/>
      <c r="E880" s="305"/>
      <c r="F880" s="66" t="e">
        <f>SUM(F878:F879)</f>
        <v>#REF!</v>
      </c>
      <c r="H880" s="41" t="s">
        <v>484</v>
      </c>
    </row>
    <row r="881" spans="1:15" ht="4.5" customHeight="1" x14ac:dyDescent="0.25">
      <c r="A881" s="67"/>
      <c r="B881" s="67"/>
      <c r="C881" s="67"/>
      <c r="D881" s="67"/>
      <c r="E881" s="67"/>
      <c r="M881" s="68"/>
    </row>
    <row r="882" spans="1:15" x14ac:dyDescent="0.25">
      <c r="A882" s="41" t="s">
        <v>485</v>
      </c>
      <c r="H882" s="40" t="s">
        <v>86</v>
      </c>
      <c r="K882" s="69"/>
      <c r="M882" s="68"/>
    </row>
    <row r="883" spans="1:15" ht="4.5" customHeight="1" thickBot="1" x14ac:dyDescent="0.3">
      <c r="F883" s="68"/>
    </row>
    <row r="884" spans="1:15" ht="17.25" thickBot="1" x14ac:dyDescent="0.3">
      <c r="A884" s="40" t="s">
        <v>86</v>
      </c>
      <c r="D884" s="69"/>
      <c r="F884" s="68"/>
      <c r="H884" s="306" t="s">
        <v>87</v>
      </c>
      <c r="I884" s="307"/>
      <c r="J884" s="307"/>
      <c r="K884" s="308"/>
      <c r="M884" s="357" t="s">
        <v>217</v>
      </c>
      <c r="N884" s="357"/>
      <c r="O884" s="357"/>
    </row>
    <row r="885" spans="1:15" s="196" customFormat="1" ht="27.75" thickBot="1" x14ac:dyDescent="0.3">
      <c r="H885" s="197" t="s">
        <v>62</v>
      </c>
      <c r="I885" s="198" t="s">
        <v>90</v>
      </c>
      <c r="J885" s="199" t="s">
        <v>91</v>
      </c>
      <c r="K885" s="200" t="s">
        <v>92</v>
      </c>
      <c r="M885" s="201"/>
      <c r="N885" s="201"/>
      <c r="O885" s="201"/>
    </row>
    <row r="886" spans="1:15" ht="15.75" customHeight="1" thickBot="1" x14ac:dyDescent="0.3">
      <c r="A886" s="306" t="s">
        <v>87</v>
      </c>
      <c r="B886" s="307"/>
      <c r="C886" s="307"/>
      <c r="D886" s="308"/>
      <c r="F886" s="40" t="s">
        <v>89</v>
      </c>
      <c r="H886" s="75">
        <v>719</v>
      </c>
      <c r="I886" s="76">
        <f>+O864+O866+O868+O870+O872</f>
        <v>2550000</v>
      </c>
      <c r="J886" s="77">
        <f>+K847</f>
        <v>54276000</v>
      </c>
      <c r="K886" s="79">
        <f>+I886+J886</f>
        <v>56826000</v>
      </c>
      <c r="M886" s="343"/>
      <c r="N886" s="343"/>
      <c r="O886" s="343"/>
    </row>
    <row r="887" spans="1:15" ht="12.75" customHeight="1" thickBot="1" x14ac:dyDescent="0.3">
      <c r="A887" s="70" t="s">
        <v>62</v>
      </c>
      <c r="B887" s="71" t="s">
        <v>90</v>
      </c>
      <c r="C887" s="72" t="s">
        <v>91</v>
      </c>
      <c r="D887" s="73" t="s">
        <v>92</v>
      </c>
      <c r="H887" s="80">
        <v>721</v>
      </c>
      <c r="I887" s="192">
        <v>287000</v>
      </c>
      <c r="J887" s="77">
        <f>+K848</f>
        <v>10894000</v>
      </c>
      <c r="K887" s="79">
        <f>+I887+J887</f>
        <v>11181000</v>
      </c>
      <c r="M887" s="343"/>
      <c r="N887" s="343"/>
      <c r="O887" s="343"/>
    </row>
    <row r="888" spans="1:15" ht="14.25" hidden="1" customHeight="1" x14ac:dyDescent="0.25">
      <c r="A888" s="75">
        <v>719</v>
      </c>
      <c r="B888" s="76" t="e">
        <f>+#REF!+#REF!+#REF!+#REF!+#REF!</f>
        <v>#REF!</v>
      </c>
      <c r="C888" s="77" t="e">
        <f>+D849</f>
        <v>#REF!</v>
      </c>
      <c r="D888" s="79" t="e">
        <f>+B888+C888</f>
        <v>#REF!</v>
      </c>
      <c r="H888" s="80">
        <v>722</v>
      </c>
      <c r="I888" s="192"/>
      <c r="J888" s="77">
        <f>+K849</f>
        <v>0</v>
      </c>
      <c r="K888" s="79">
        <f>+I888+J888</f>
        <v>0</v>
      </c>
      <c r="M888" s="343"/>
      <c r="N888" s="343"/>
      <c r="O888" s="343"/>
    </row>
    <row r="889" spans="1:15" ht="13.5" customHeight="1" thickBot="1" x14ac:dyDescent="0.3">
      <c r="A889" s="80">
        <v>721</v>
      </c>
      <c r="B889" s="81" t="e">
        <f>+#REF!</f>
        <v>#REF!</v>
      </c>
      <c r="C889" s="77" t="e">
        <f>+D850</f>
        <v>#REF!</v>
      </c>
      <c r="D889" s="79" t="e">
        <f>+B889+C889</f>
        <v>#REF!</v>
      </c>
      <c r="H889" s="80">
        <v>723</v>
      </c>
      <c r="I889" s="192">
        <f>+O874</f>
        <v>820000</v>
      </c>
      <c r="J889" s="77">
        <f>+K850</f>
        <v>323198086</v>
      </c>
      <c r="K889" s="79">
        <f>+I889+J889</f>
        <v>324018086</v>
      </c>
      <c r="M889" s="356"/>
      <c r="N889" s="356"/>
      <c r="O889" s="356"/>
    </row>
    <row r="890" spans="1:15" ht="15" hidden="1" customHeight="1" x14ac:dyDescent="0.25">
      <c r="A890" s="80">
        <v>722</v>
      </c>
      <c r="B890" s="81"/>
      <c r="C890" s="77" t="e">
        <f>+D851</f>
        <v>#REF!</v>
      </c>
      <c r="D890" s="79" t="e">
        <f>+B890+C890</f>
        <v>#REF!</v>
      </c>
      <c r="H890" s="85" t="s">
        <v>94</v>
      </c>
      <c r="I890" s="86"/>
      <c r="J890" s="77" t="e">
        <f>+K851</f>
        <v>#REF!</v>
      </c>
      <c r="K890" s="89" t="e">
        <f>+I890+J890</f>
        <v>#REF!</v>
      </c>
      <c r="M890" s="45"/>
    </row>
    <row r="891" spans="1:15" ht="16.5" thickBot="1" x14ac:dyDescent="0.3">
      <c r="A891" s="80">
        <v>723</v>
      </c>
      <c r="B891" s="81" t="e">
        <f>+#REF!</f>
        <v>#REF!</v>
      </c>
      <c r="C891" s="77" t="e">
        <f>+D852</f>
        <v>#REF!</v>
      </c>
      <c r="D891" s="79" t="e">
        <f>+B891+C891</f>
        <v>#REF!</v>
      </c>
      <c r="F891" s="83" t="s">
        <v>93</v>
      </c>
      <c r="G891" s="84"/>
      <c r="H891" s="90"/>
      <c r="I891" s="94">
        <f>SUM(I886:I890)</f>
        <v>3657000</v>
      </c>
      <c r="J891" s="94" t="e">
        <f>SUM(J886:J890)</f>
        <v>#REF!</v>
      </c>
      <c r="K891" s="95" t="e">
        <f>SUM(K886:K890)</f>
        <v>#REF!</v>
      </c>
    </row>
    <row r="892" spans="1:15" ht="17.25" thickBot="1" x14ac:dyDescent="0.3">
      <c r="A892" s="85" t="s">
        <v>94</v>
      </c>
      <c r="B892" s="86"/>
      <c r="C892" s="77" t="e">
        <f>+D853</f>
        <v>#REF!</v>
      </c>
      <c r="D892" s="89" t="e">
        <f>+B892+C892</f>
        <v>#REF!</v>
      </c>
      <c r="F892" s="45"/>
      <c r="H892" s="39" t="s">
        <v>46</v>
      </c>
      <c r="I892" s="40"/>
    </row>
    <row r="893" spans="1:15" ht="14.25" customHeight="1" thickBot="1" x14ac:dyDescent="0.3">
      <c r="A893" s="90"/>
      <c r="B893" s="91" t="e">
        <f>SUM(B888:B892)</f>
        <v>#REF!</v>
      </c>
      <c r="C893" s="92" t="e">
        <f>SUM(C888:C892)</f>
        <v>#REF!</v>
      </c>
      <c r="D893" s="93" t="e">
        <f>SUM(D888:D892)</f>
        <v>#REF!</v>
      </c>
      <c r="H893" s="41" t="s">
        <v>47</v>
      </c>
    </row>
    <row r="894" spans="1:15" ht="14.25" customHeight="1" x14ac:dyDescent="0.25">
      <c r="A894" s="39" t="s">
        <v>46</v>
      </c>
      <c r="B894" s="40"/>
      <c r="H894" s="41" t="s">
        <v>48</v>
      </c>
    </row>
    <row r="895" spans="1:15" x14ac:dyDescent="0.25">
      <c r="A895" s="41" t="s">
        <v>47</v>
      </c>
      <c r="H895" s="41" t="s">
        <v>49</v>
      </c>
    </row>
    <row r="896" spans="1:15" ht="6" customHeight="1" x14ac:dyDescent="0.25">
      <c r="A896" s="41" t="s">
        <v>48</v>
      </c>
      <c r="H896" s="40"/>
      <c r="I896" s="40"/>
    </row>
    <row r="897" spans="1:15" ht="15" customHeight="1" x14ac:dyDescent="0.25">
      <c r="A897" s="41" t="s">
        <v>49</v>
      </c>
      <c r="H897" s="188" t="s">
        <v>486</v>
      </c>
      <c r="N897" s="45"/>
    </row>
    <row r="898" spans="1:15" ht="15" customHeight="1" x14ac:dyDescent="0.25">
      <c r="A898" s="40"/>
      <c r="B898" s="40"/>
      <c r="H898" s="190" t="s">
        <v>394</v>
      </c>
      <c r="N898" s="47"/>
    </row>
    <row r="899" spans="1:15" ht="15" customHeight="1" x14ac:dyDescent="0.25">
      <c r="A899" s="45" t="s">
        <v>487</v>
      </c>
      <c r="G899" s="45"/>
      <c r="H899" s="326" t="s">
        <v>488</v>
      </c>
      <c r="I899" s="326"/>
      <c r="J899" s="326"/>
      <c r="K899" s="326"/>
      <c r="L899" s="326"/>
      <c r="M899" s="326"/>
      <c r="N899" s="326"/>
      <c r="O899" s="326"/>
    </row>
    <row r="900" spans="1:15" ht="7.5" customHeight="1" thickBot="1" x14ac:dyDescent="0.3">
      <c r="A900" s="47" t="s">
        <v>52</v>
      </c>
      <c r="G900" s="47"/>
    </row>
    <row r="901" spans="1:15" ht="16.5" x14ac:dyDescent="0.25">
      <c r="A901" s="326" t="s">
        <v>54</v>
      </c>
      <c r="B901" s="326"/>
      <c r="C901" s="326"/>
      <c r="D901" s="326"/>
      <c r="E901" s="326"/>
      <c r="F901" s="326"/>
      <c r="G901" s="326"/>
      <c r="H901" s="327" t="s">
        <v>56</v>
      </c>
      <c r="I901" s="322" t="s">
        <v>57</v>
      </c>
      <c r="J901" s="322" t="s">
        <v>58</v>
      </c>
      <c r="K901" s="322" t="s">
        <v>7</v>
      </c>
      <c r="L901" s="322" t="s">
        <v>59</v>
      </c>
      <c r="M901" s="322" t="s">
        <v>60</v>
      </c>
      <c r="N901" s="322" t="s">
        <v>61</v>
      </c>
      <c r="O901" s="324"/>
    </row>
    <row r="902" spans="1:15" ht="15.75" thickBot="1" x14ac:dyDescent="0.3">
      <c r="H902" s="328"/>
      <c r="I902" s="323"/>
      <c r="J902" s="323"/>
      <c r="K902" s="323"/>
      <c r="L902" s="323"/>
      <c r="M902" s="323"/>
      <c r="N902" s="51" t="s">
        <v>62</v>
      </c>
      <c r="O902" s="52" t="s">
        <v>63</v>
      </c>
    </row>
    <row r="903" spans="1:15" ht="15" customHeight="1" x14ac:dyDescent="0.25">
      <c r="A903" s="327" t="s">
        <v>56</v>
      </c>
      <c r="B903" s="322" t="s">
        <v>57</v>
      </c>
      <c r="C903" s="322" t="s">
        <v>58</v>
      </c>
      <c r="D903" s="322" t="s">
        <v>7</v>
      </c>
      <c r="E903" s="322" t="s">
        <v>59</v>
      </c>
      <c r="F903" s="322" t="s">
        <v>60</v>
      </c>
      <c r="G903" s="50" t="s">
        <v>61</v>
      </c>
      <c r="H903" s="354">
        <f>+H874+1</f>
        <v>115</v>
      </c>
      <c r="I903" s="312">
        <v>45594</v>
      </c>
      <c r="J903" s="314" t="s">
        <v>136</v>
      </c>
      <c r="K903" s="318" t="s">
        <v>489</v>
      </c>
      <c r="L903" s="318" t="s">
        <v>66</v>
      </c>
      <c r="M903" s="320">
        <v>675000</v>
      </c>
      <c r="N903" s="53">
        <v>719</v>
      </c>
      <c r="O903" s="54">
        <v>500000</v>
      </c>
    </row>
    <row r="904" spans="1:15" ht="15.75" customHeight="1" thickBot="1" x14ac:dyDescent="0.3">
      <c r="A904" s="328"/>
      <c r="B904" s="323"/>
      <c r="C904" s="323"/>
      <c r="D904" s="323"/>
      <c r="E904" s="323"/>
      <c r="F904" s="323"/>
      <c r="G904" s="51" t="s">
        <v>62</v>
      </c>
      <c r="H904" s="355"/>
      <c r="I904" s="313"/>
      <c r="J904" s="315"/>
      <c r="K904" s="319"/>
      <c r="L904" s="319"/>
      <c r="M904" s="321"/>
      <c r="N904" s="55">
        <v>721</v>
      </c>
      <c r="O904" s="56">
        <v>175000</v>
      </c>
    </row>
    <row r="905" spans="1:15" ht="15" customHeight="1" x14ac:dyDescent="0.25">
      <c r="A905" s="318" t="e">
        <f>+A876+1</f>
        <v>#REF!</v>
      </c>
      <c r="B905" s="312">
        <v>42320</v>
      </c>
      <c r="C905" s="314" t="s">
        <v>297</v>
      </c>
      <c r="D905" s="318" t="s">
        <v>490</v>
      </c>
      <c r="E905" s="318" t="s">
        <v>66</v>
      </c>
      <c r="F905" s="320">
        <v>60000</v>
      </c>
      <c r="G905" s="53">
        <v>719</v>
      </c>
      <c r="H905" s="354">
        <f>+H903+1</f>
        <v>116</v>
      </c>
      <c r="I905" s="312">
        <v>45594</v>
      </c>
      <c r="J905" s="314" t="s">
        <v>251</v>
      </c>
      <c r="K905" s="318" t="s">
        <v>491</v>
      </c>
      <c r="L905" s="318" t="s">
        <v>283</v>
      </c>
      <c r="M905" s="320">
        <v>650000</v>
      </c>
      <c r="N905" s="53">
        <v>719</v>
      </c>
      <c r="O905" s="54">
        <v>650000</v>
      </c>
    </row>
    <row r="906" spans="1:15" ht="12" customHeight="1" thickBot="1" x14ac:dyDescent="0.3">
      <c r="A906" s="319"/>
      <c r="B906" s="313"/>
      <c r="C906" s="315"/>
      <c r="D906" s="319"/>
      <c r="E906" s="319"/>
      <c r="F906" s="321"/>
      <c r="G906" s="55">
        <v>721</v>
      </c>
      <c r="H906" s="355"/>
      <c r="I906" s="313"/>
      <c r="J906" s="315"/>
      <c r="K906" s="319"/>
      <c r="L906" s="319"/>
      <c r="M906" s="321"/>
      <c r="N906" s="55">
        <v>721</v>
      </c>
      <c r="O906" s="56"/>
    </row>
    <row r="907" spans="1:15" ht="15" customHeight="1" x14ac:dyDescent="0.25">
      <c r="A907" s="318" t="e">
        <f>+A905+1</f>
        <v>#REF!</v>
      </c>
      <c r="B907" s="312">
        <v>42320</v>
      </c>
      <c r="C907" s="318" t="s">
        <v>70</v>
      </c>
      <c r="D907" s="318" t="s">
        <v>490</v>
      </c>
      <c r="E907" s="318" t="s">
        <v>66</v>
      </c>
      <c r="F907" s="320">
        <v>30000</v>
      </c>
      <c r="G907" s="53">
        <v>719</v>
      </c>
      <c r="H907" s="354">
        <f>+H905+1</f>
        <v>117</v>
      </c>
      <c r="I907" s="312">
        <v>45594</v>
      </c>
      <c r="J907" s="314" t="s">
        <v>136</v>
      </c>
      <c r="K907" s="318" t="s">
        <v>492</v>
      </c>
      <c r="L907" s="318" t="s">
        <v>5</v>
      </c>
      <c r="M907" s="320">
        <v>500000</v>
      </c>
      <c r="N907" s="53">
        <v>719</v>
      </c>
      <c r="O907" s="54">
        <f>+M907</f>
        <v>500000</v>
      </c>
    </row>
    <row r="908" spans="1:15" ht="13.5" customHeight="1" thickBot="1" x14ac:dyDescent="0.3">
      <c r="A908" s="319"/>
      <c r="B908" s="313"/>
      <c r="C908" s="319"/>
      <c r="D908" s="319"/>
      <c r="E908" s="319"/>
      <c r="F908" s="321"/>
      <c r="G908" s="55">
        <v>721</v>
      </c>
      <c r="H908" s="355"/>
      <c r="I908" s="313"/>
      <c r="J908" s="315"/>
      <c r="K908" s="319"/>
      <c r="L908" s="319"/>
      <c r="M908" s="321"/>
      <c r="N908" s="55">
        <v>721</v>
      </c>
      <c r="O908" s="56"/>
    </row>
    <row r="909" spans="1:15" ht="12.75" customHeight="1" x14ac:dyDescent="0.25">
      <c r="A909" s="318" t="e">
        <f>+A907+1</f>
        <v>#REF!</v>
      </c>
      <c r="B909" s="312">
        <v>42320</v>
      </c>
      <c r="C909" s="314" t="s">
        <v>106</v>
      </c>
      <c r="D909" s="318" t="s">
        <v>493</v>
      </c>
      <c r="E909" s="318" t="s">
        <v>66</v>
      </c>
      <c r="F909" s="320">
        <v>20000</v>
      </c>
      <c r="G909" s="53">
        <v>719</v>
      </c>
      <c r="H909" s="354">
        <v>118</v>
      </c>
      <c r="I909" s="312">
        <v>45594</v>
      </c>
      <c r="J909" s="314" t="s">
        <v>494</v>
      </c>
      <c r="K909" s="318" t="s">
        <v>482</v>
      </c>
      <c r="L909" s="318" t="s">
        <v>5</v>
      </c>
      <c r="M909" s="320">
        <v>3642650</v>
      </c>
      <c r="N909" s="53">
        <v>719</v>
      </c>
      <c r="O909" s="54"/>
    </row>
    <row r="910" spans="1:15" ht="13.5" customHeight="1" thickBot="1" x14ac:dyDescent="0.3">
      <c r="A910" s="319"/>
      <c r="B910" s="313"/>
      <c r="C910" s="315"/>
      <c r="D910" s="319"/>
      <c r="E910" s="319"/>
      <c r="F910" s="321"/>
      <c r="G910" s="55">
        <v>721</v>
      </c>
      <c r="H910" s="355"/>
      <c r="I910" s="313"/>
      <c r="J910" s="315"/>
      <c r="K910" s="319"/>
      <c r="L910" s="319"/>
      <c r="M910" s="321"/>
      <c r="N910" s="55">
        <v>723</v>
      </c>
      <c r="O910" s="56">
        <v>3642650</v>
      </c>
    </row>
    <row r="911" spans="1:15" ht="12" customHeight="1" x14ac:dyDescent="0.25">
      <c r="A911" s="318"/>
      <c r="B911" s="312"/>
      <c r="C911" s="318"/>
      <c r="D911" s="318"/>
      <c r="E911" s="318"/>
      <c r="F911" s="320"/>
      <c r="G911" s="53">
        <v>719</v>
      </c>
      <c r="H911" s="354">
        <v>119</v>
      </c>
      <c r="I911" s="312">
        <v>45594</v>
      </c>
      <c r="J911" s="314" t="s">
        <v>494</v>
      </c>
      <c r="K911" s="318" t="s">
        <v>495</v>
      </c>
      <c r="L911" s="318" t="s">
        <v>5</v>
      </c>
      <c r="M911" s="320">
        <v>1521250</v>
      </c>
      <c r="N911" s="53">
        <v>719</v>
      </c>
      <c r="O911" s="54"/>
    </row>
    <row r="912" spans="1:15" ht="12" customHeight="1" thickBot="1" x14ac:dyDescent="0.3">
      <c r="A912" s="319"/>
      <c r="B912" s="313"/>
      <c r="C912" s="319"/>
      <c r="D912" s="319"/>
      <c r="E912" s="319"/>
      <c r="F912" s="321"/>
      <c r="G912" s="55">
        <v>721</v>
      </c>
      <c r="H912" s="355"/>
      <c r="I912" s="313"/>
      <c r="J912" s="315"/>
      <c r="K912" s="319"/>
      <c r="L912" s="319"/>
      <c r="M912" s="321"/>
      <c r="N912" s="55">
        <v>723</v>
      </c>
      <c r="O912" s="56">
        <v>1521250</v>
      </c>
    </row>
    <row r="913" spans="1:15" ht="16.5" thickBot="1" x14ac:dyDescent="0.3">
      <c r="A913" s="318"/>
      <c r="B913" s="312"/>
      <c r="C913" s="314"/>
      <c r="D913" s="318"/>
      <c r="E913" s="318"/>
      <c r="F913" s="320"/>
      <c r="G913" s="53">
        <v>719</v>
      </c>
      <c r="H913" s="297" t="s">
        <v>80</v>
      </c>
      <c r="I913" s="298"/>
      <c r="J913" s="298"/>
      <c r="K913" s="298"/>
      <c r="L913" s="299"/>
      <c r="M913" s="62">
        <f>SUM(M903:M912)</f>
        <v>6988900</v>
      </c>
    </row>
    <row r="914" spans="1:15" ht="16.5" thickBot="1" x14ac:dyDescent="0.3">
      <c r="A914" s="319"/>
      <c r="B914" s="313"/>
      <c r="C914" s="315"/>
      <c r="D914" s="319"/>
      <c r="E914" s="319"/>
      <c r="F914" s="321"/>
      <c r="G914" s="55">
        <v>721</v>
      </c>
      <c r="H914" s="300" t="s">
        <v>81</v>
      </c>
      <c r="I914" s="301"/>
      <c r="J914" s="301"/>
      <c r="K914" s="301"/>
      <c r="L914" s="302"/>
      <c r="M914" s="106">
        <f>+M878</f>
        <v>392025086</v>
      </c>
      <c r="N914" s="64" t="s">
        <v>82</v>
      </c>
      <c r="O914" s="65">
        <v>2848</v>
      </c>
    </row>
    <row r="915" spans="1:15" ht="15" customHeight="1" thickBot="1" x14ac:dyDescent="0.3">
      <c r="A915" s="297" t="s">
        <v>80</v>
      </c>
      <c r="B915" s="298"/>
      <c r="C915" s="298"/>
      <c r="D915" s="298"/>
      <c r="E915" s="299"/>
      <c r="F915" s="62">
        <f>SUM(F905:F914)</f>
        <v>110000</v>
      </c>
      <c r="H915" s="303" t="s">
        <v>83</v>
      </c>
      <c r="I915" s="304"/>
      <c r="J915" s="304"/>
      <c r="K915" s="304"/>
      <c r="L915" s="305"/>
      <c r="M915" s="66">
        <f>SUM(M913:M914)</f>
        <v>399013986</v>
      </c>
    </row>
    <row r="916" spans="1:15" ht="5.25" customHeight="1" thickBot="1" x14ac:dyDescent="0.3">
      <c r="A916" s="300" t="s">
        <v>81</v>
      </c>
      <c r="B916" s="301"/>
      <c r="C916" s="301"/>
      <c r="D916" s="301"/>
      <c r="E916" s="302"/>
      <c r="F916" s="63" t="e">
        <f>+F880</f>
        <v>#REF!</v>
      </c>
      <c r="H916" s="67"/>
      <c r="I916" s="67"/>
      <c r="J916" s="67"/>
      <c r="K916" s="67"/>
      <c r="L916" s="67"/>
    </row>
    <row r="917" spans="1:15" ht="16.5" thickBot="1" x14ac:dyDescent="0.3">
      <c r="A917" s="303" t="s">
        <v>83</v>
      </c>
      <c r="B917" s="304"/>
      <c r="C917" s="304"/>
      <c r="D917" s="304"/>
      <c r="E917" s="305"/>
      <c r="F917" s="66" t="e">
        <f>SUM(F915:F916)</f>
        <v>#REF!</v>
      </c>
      <c r="H917" s="41" t="s">
        <v>496</v>
      </c>
    </row>
    <row r="918" spans="1:15" ht="3" customHeight="1" x14ac:dyDescent="0.25">
      <c r="A918" s="67"/>
      <c r="B918" s="67"/>
      <c r="C918" s="67"/>
      <c r="D918" s="67"/>
      <c r="E918" s="67"/>
      <c r="M918" s="68"/>
    </row>
    <row r="919" spans="1:15" x14ac:dyDescent="0.25">
      <c r="A919" s="41" t="s">
        <v>497</v>
      </c>
      <c r="H919" s="40" t="s">
        <v>86</v>
      </c>
      <c r="K919" s="69"/>
      <c r="M919" s="68"/>
    </row>
    <row r="920" spans="1:15" ht="8.25" customHeight="1" thickBot="1" x14ac:dyDescent="0.3">
      <c r="F920" s="68"/>
    </row>
    <row r="921" spans="1:15" ht="15.75" thickBot="1" x14ac:dyDescent="0.3">
      <c r="A921" s="40" t="s">
        <v>86</v>
      </c>
      <c r="D921" s="69"/>
      <c r="F921" s="68"/>
      <c r="H921" s="306" t="s">
        <v>87</v>
      </c>
      <c r="I921" s="307"/>
      <c r="J921" s="307"/>
      <c r="K921" s="308"/>
      <c r="M921" s="351" t="s">
        <v>89</v>
      </c>
      <c r="N921" s="351"/>
      <c r="O921" s="351"/>
    </row>
    <row r="922" spans="1:15" s="196" customFormat="1" ht="28.5" customHeight="1" thickBot="1" x14ac:dyDescent="0.3">
      <c r="H922" s="197" t="s">
        <v>62</v>
      </c>
      <c r="I922" s="198" t="s">
        <v>90</v>
      </c>
      <c r="J922" s="199" t="s">
        <v>91</v>
      </c>
      <c r="K922" s="200" t="s">
        <v>92</v>
      </c>
    </row>
    <row r="923" spans="1:15" ht="14.25" customHeight="1" thickBot="1" x14ac:dyDescent="0.3">
      <c r="A923" s="306" t="s">
        <v>87</v>
      </c>
      <c r="B923" s="307"/>
      <c r="C923" s="307"/>
      <c r="D923" s="308"/>
      <c r="F923" s="40" t="s">
        <v>89</v>
      </c>
      <c r="H923" s="75">
        <v>719</v>
      </c>
      <c r="I923" s="76">
        <f>+O903+O905+O907+O909+O911</f>
        <v>1650000</v>
      </c>
      <c r="J923" s="77">
        <f>+K886</f>
        <v>56826000</v>
      </c>
      <c r="K923" s="79">
        <f>+I923+J923</f>
        <v>58476000</v>
      </c>
    </row>
    <row r="924" spans="1:15" ht="16.5" customHeight="1" thickBot="1" x14ac:dyDescent="0.3">
      <c r="A924" s="70" t="s">
        <v>62</v>
      </c>
      <c r="B924" s="71" t="s">
        <v>90</v>
      </c>
      <c r="C924" s="72" t="s">
        <v>91</v>
      </c>
      <c r="D924" s="73" t="s">
        <v>92</v>
      </c>
      <c r="H924" s="80">
        <v>721</v>
      </c>
      <c r="I924" s="192">
        <v>175000</v>
      </c>
      <c r="J924" s="77">
        <f>+K887</f>
        <v>11181000</v>
      </c>
      <c r="K924" s="79">
        <f>+I924+J924</f>
        <v>11356000</v>
      </c>
    </row>
    <row r="925" spans="1:15" ht="13.5" hidden="1" customHeight="1" x14ac:dyDescent="0.25">
      <c r="A925" s="75">
        <v>719</v>
      </c>
      <c r="B925" s="76" t="e">
        <f>+#REF!+#REF!+#REF!+#REF!+#REF!</f>
        <v>#REF!</v>
      </c>
      <c r="C925" s="77" t="e">
        <f>+D888</f>
        <v>#REF!</v>
      </c>
      <c r="D925" s="79" t="e">
        <f>+B925+C925</f>
        <v>#REF!</v>
      </c>
      <c r="H925" s="80">
        <v>722</v>
      </c>
      <c r="I925" s="192"/>
      <c r="J925" s="77">
        <f>+K888</f>
        <v>0</v>
      </c>
      <c r="K925" s="79">
        <f>+I925+J925</f>
        <v>0</v>
      </c>
    </row>
    <row r="926" spans="1:15" ht="16.5" thickBot="1" x14ac:dyDescent="0.3">
      <c r="A926" s="80">
        <v>721</v>
      </c>
      <c r="B926" s="81" t="e">
        <f>+#REF!</f>
        <v>#REF!</v>
      </c>
      <c r="C926" s="77" t="e">
        <f>+D889</f>
        <v>#REF!</v>
      </c>
      <c r="D926" s="79" t="e">
        <f>+B926+C926</f>
        <v>#REF!</v>
      </c>
      <c r="H926" s="80">
        <v>723</v>
      </c>
      <c r="I926" s="192">
        <f>+M909+M911</f>
        <v>5163900</v>
      </c>
      <c r="J926" s="77">
        <f>+K889</f>
        <v>324018086</v>
      </c>
      <c r="K926" s="79">
        <f>+I926+J926</f>
        <v>329181986</v>
      </c>
      <c r="M926" s="343"/>
      <c r="N926" s="343"/>
      <c r="O926" s="343"/>
    </row>
    <row r="927" spans="1:15" ht="14.25" hidden="1" customHeight="1" x14ac:dyDescent="0.25">
      <c r="A927" s="80">
        <v>722</v>
      </c>
      <c r="B927" s="81"/>
      <c r="C927" s="77" t="e">
        <f>+D890</f>
        <v>#REF!</v>
      </c>
      <c r="D927" s="79" t="e">
        <f>+B927+C927</f>
        <v>#REF!</v>
      </c>
      <c r="H927" s="85" t="s">
        <v>94</v>
      </c>
      <c r="I927" s="86"/>
      <c r="J927" s="77" t="e">
        <f>+K890</f>
        <v>#REF!</v>
      </c>
      <c r="K927" s="89" t="e">
        <f>+I927+J927</f>
        <v>#REF!</v>
      </c>
      <c r="M927" s="45"/>
    </row>
    <row r="928" spans="1:15" ht="16.5" thickBot="1" x14ac:dyDescent="0.3">
      <c r="A928" s="80">
        <v>723</v>
      </c>
      <c r="B928" s="81" t="e">
        <f>+#REF!</f>
        <v>#REF!</v>
      </c>
      <c r="C928" s="77" t="e">
        <f>+D891</f>
        <v>#REF!</v>
      </c>
      <c r="D928" s="79" t="e">
        <f>+B928+C928</f>
        <v>#REF!</v>
      </c>
      <c r="F928" s="83" t="s">
        <v>93</v>
      </c>
      <c r="G928" s="84"/>
      <c r="H928" s="90"/>
      <c r="I928" s="94">
        <f>SUM(I923:I927)</f>
        <v>6988900</v>
      </c>
      <c r="J928" s="94" t="e">
        <f>SUM(J923:J927)</f>
        <v>#REF!</v>
      </c>
      <c r="K928" s="95" t="e">
        <f>SUM(K923:K927)</f>
        <v>#REF!</v>
      </c>
    </row>
    <row r="929" spans="1:15" ht="17.25" thickBot="1" x14ac:dyDescent="0.3">
      <c r="A929" s="85" t="s">
        <v>94</v>
      </c>
      <c r="B929" s="86"/>
      <c r="C929" s="77" t="e">
        <f>+D892</f>
        <v>#REF!</v>
      </c>
      <c r="D929" s="89" t="e">
        <f>+B929+C929</f>
        <v>#REF!</v>
      </c>
      <c r="F929" s="45"/>
      <c r="H929" s="39" t="s">
        <v>46</v>
      </c>
      <c r="I929" s="40"/>
    </row>
    <row r="930" spans="1:15" ht="15" customHeight="1" thickBot="1" x14ac:dyDescent="0.3">
      <c r="A930" s="90"/>
      <c r="B930" s="91" t="e">
        <f>SUM(B925:B929)</f>
        <v>#REF!</v>
      </c>
      <c r="C930" s="92" t="e">
        <f>SUM(C925:C929)</f>
        <v>#REF!</v>
      </c>
      <c r="D930" s="93" t="e">
        <f>SUM(D925:D929)</f>
        <v>#REF!</v>
      </c>
      <c r="H930" s="41" t="s">
        <v>47</v>
      </c>
    </row>
    <row r="931" spans="1:15" ht="15" customHeight="1" x14ac:dyDescent="0.25">
      <c r="A931" s="39" t="s">
        <v>46</v>
      </c>
      <c r="B931" s="40"/>
      <c r="H931" s="41" t="s">
        <v>48</v>
      </c>
    </row>
    <row r="932" spans="1:15" ht="12.75" customHeight="1" x14ac:dyDescent="0.25">
      <c r="A932" s="41" t="s">
        <v>47</v>
      </c>
      <c r="H932" s="41" t="s">
        <v>49</v>
      </c>
    </row>
    <row r="933" spans="1:15" ht="3.75" customHeight="1" x14ac:dyDescent="0.25">
      <c r="A933" s="41" t="s">
        <v>48</v>
      </c>
      <c r="H933" s="40"/>
      <c r="I933" s="40"/>
    </row>
    <row r="934" spans="1:15" ht="15.75" customHeight="1" x14ac:dyDescent="0.25">
      <c r="A934" s="41" t="s">
        <v>49</v>
      </c>
      <c r="H934" s="45" t="s">
        <v>498</v>
      </c>
      <c r="N934" s="45"/>
    </row>
    <row r="935" spans="1:15" ht="13.5" customHeight="1" x14ac:dyDescent="0.25">
      <c r="A935" s="40"/>
      <c r="B935" s="40"/>
      <c r="H935" s="47" t="s">
        <v>394</v>
      </c>
      <c r="N935" s="47"/>
    </row>
    <row r="936" spans="1:15" ht="15" customHeight="1" x14ac:dyDescent="0.25">
      <c r="A936" s="45" t="s">
        <v>499</v>
      </c>
      <c r="G936" s="45"/>
      <c r="H936" s="326" t="s">
        <v>201</v>
      </c>
      <c r="I936" s="326"/>
      <c r="J936" s="326"/>
      <c r="K936" s="326"/>
      <c r="L936" s="326"/>
      <c r="M936" s="326"/>
      <c r="N936" s="326"/>
      <c r="O936" s="326"/>
    </row>
    <row r="937" spans="1:15" ht="7.5" customHeight="1" thickBot="1" x14ac:dyDescent="0.3">
      <c r="A937" s="47" t="s">
        <v>52</v>
      </c>
      <c r="G937" s="47"/>
    </row>
    <row r="938" spans="1:15" ht="16.5" x14ac:dyDescent="0.25">
      <c r="A938" s="326" t="s">
        <v>500</v>
      </c>
      <c r="B938" s="326"/>
      <c r="C938" s="326"/>
      <c r="D938" s="326"/>
      <c r="E938" s="326"/>
      <c r="F938" s="326"/>
      <c r="G938" s="326"/>
      <c r="H938" s="327" t="s">
        <v>56</v>
      </c>
      <c r="I938" s="322" t="s">
        <v>57</v>
      </c>
      <c r="J938" s="322" t="s">
        <v>58</v>
      </c>
      <c r="K938" s="322" t="s">
        <v>7</v>
      </c>
      <c r="L938" s="322" t="s">
        <v>59</v>
      </c>
      <c r="M938" s="322" t="s">
        <v>60</v>
      </c>
      <c r="N938" s="322" t="s">
        <v>61</v>
      </c>
      <c r="O938" s="324"/>
    </row>
    <row r="939" spans="1:15" ht="15.75" thickBot="1" x14ac:dyDescent="0.3">
      <c r="H939" s="328"/>
      <c r="I939" s="323"/>
      <c r="J939" s="323"/>
      <c r="K939" s="323"/>
      <c r="L939" s="323"/>
      <c r="M939" s="323"/>
      <c r="N939" s="51" t="s">
        <v>62</v>
      </c>
      <c r="O939" s="52" t="s">
        <v>63</v>
      </c>
    </row>
    <row r="940" spans="1:15" ht="12.75" customHeight="1" x14ac:dyDescent="0.25">
      <c r="A940" s="327" t="s">
        <v>56</v>
      </c>
      <c r="B940" s="322" t="s">
        <v>57</v>
      </c>
      <c r="C940" s="322" t="s">
        <v>58</v>
      </c>
      <c r="D940" s="322" t="s">
        <v>7</v>
      </c>
      <c r="E940" s="322" t="s">
        <v>59</v>
      </c>
      <c r="F940" s="322" t="s">
        <v>60</v>
      </c>
      <c r="G940" s="50" t="s">
        <v>61</v>
      </c>
      <c r="H940" s="310" t="s">
        <v>349</v>
      </c>
      <c r="I940" s="312">
        <v>45649</v>
      </c>
      <c r="J940" s="314" t="s">
        <v>251</v>
      </c>
      <c r="K940" s="318" t="s">
        <v>501</v>
      </c>
      <c r="L940" s="318" t="s">
        <v>283</v>
      </c>
      <c r="M940" s="320">
        <v>490000</v>
      </c>
      <c r="N940" s="53">
        <v>719</v>
      </c>
      <c r="O940" s="54">
        <v>490000</v>
      </c>
    </row>
    <row r="941" spans="1:15" ht="13.5" customHeight="1" thickBot="1" x14ac:dyDescent="0.3">
      <c r="A941" s="328"/>
      <c r="B941" s="323"/>
      <c r="C941" s="323"/>
      <c r="D941" s="323"/>
      <c r="E941" s="323"/>
      <c r="F941" s="323"/>
      <c r="G941" s="51" t="s">
        <v>62</v>
      </c>
      <c r="H941" s="319"/>
      <c r="I941" s="313"/>
      <c r="J941" s="315"/>
      <c r="K941" s="319"/>
      <c r="L941" s="319"/>
      <c r="M941" s="321"/>
      <c r="N941" s="55">
        <v>721</v>
      </c>
      <c r="O941" s="56"/>
    </row>
    <row r="942" spans="1:15" ht="12" customHeight="1" x14ac:dyDescent="0.25">
      <c r="A942" s="318" t="e">
        <f>+A909+1</f>
        <v>#REF!</v>
      </c>
      <c r="B942" s="312">
        <v>42328</v>
      </c>
      <c r="C942" s="314" t="s">
        <v>502</v>
      </c>
      <c r="D942" s="318" t="s">
        <v>503</v>
      </c>
      <c r="E942" s="318" t="s">
        <v>5</v>
      </c>
      <c r="F942" s="320">
        <v>1764708</v>
      </c>
      <c r="G942" s="53">
        <v>723</v>
      </c>
      <c r="H942" s="310" t="s">
        <v>504</v>
      </c>
      <c r="I942" s="312">
        <v>45649</v>
      </c>
      <c r="J942" s="314" t="s">
        <v>251</v>
      </c>
      <c r="K942" s="318" t="s">
        <v>505</v>
      </c>
      <c r="L942" s="318" t="s">
        <v>283</v>
      </c>
      <c r="M942" s="320">
        <v>390000</v>
      </c>
      <c r="N942" s="53">
        <v>719</v>
      </c>
      <c r="O942" s="54">
        <f>+M942</f>
        <v>390000</v>
      </c>
    </row>
    <row r="943" spans="1:15" ht="13.5" customHeight="1" thickBot="1" x14ac:dyDescent="0.3">
      <c r="A943" s="319"/>
      <c r="B943" s="313"/>
      <c r="C943" s="315"/>
      <c r="D943" s="319"/>
      <c r="E943" s="319"/>
      <c r="F943" s="321"/>
      <c r="G943" s="55">
        <v>721</v>
      </c>
      <c r="H943" s="319"/>
      <c r="I943" s="313"/>
      <c r="J943" s="315"/>
      <c r="K943" s="319"/>
      <c r="L943" s="319"/>
      <c r="M943" s="321"/>
      <c r="N943" s="55">
        <v>721</v>
      </c>
      <c r="O943" s="56">
        <f>+M942-O942</f>
        <v>0</v>
      </c>
    </row>
    <row r="944" spans="1:15" ht="15" customHeight="1" x14ac:dyDescent="0.25">
      <c r="A944" s="318"/>
      <c r="B944" s="312"/>
      <c r="C944" s="318"/>
      <c r="D944" s="318"/>
      <c r="E944" s="318"/>
      <c r="F944" s="320"/>
      <c r="G944" s="53">
        <v>719</v>
      </c>
      <c r="H944" s="310" t="s">
        <v>506</v>
      </c>
      <c r="I944" s="312">
        <v>45649</v>
      </c>
      <c r="J944" s="314" t="s">
        <v>251</v>
      </c>
      <c r="K944" s="318" t="s">
        <v>507</v>
      </c>
      <c r="L944" s="318" t="s">
        <v>66</v>
      </c>
      <c r="M944" s="320">
        <v>1201500</v>
      </c>
      <c r="N944" s="53">
        <v>719</v>
      </c>
      <c r="O944" s="54">
        <v>890000</v>
      </c>
    </row>
    <row r="945" spans="1:15" ht="13.5" customHeight="1" thickBot="1" x14ac:dyDescent="0.3">
      <c r="A945" s="319"/>
      <c r="B945" s="313"/>
      <c r="C945" s="319"/>
      <c r="D945" s="319"/>
      <c r="E945" s="319"/>
      <c r="F945" s="321"/>
      <c r="G945" s="55">
        <v>721</v>
      </c>
      <c r="H945" s="319"/>
      <c r="I945" s="313"/>
      <c r="J945" s="315"/>
      <c r="K945" s="319"/>
      <c r="L945" s="319"/>
      <c r="M945" s="321"/>
      <c r="N945" s="55">
        <v>721</v>
      </c>
      <c r="O945" s="56">
        <f>+M944-O944</f>
        <v>311500</v>
      </c>
    </row>
    <row r="946" spans="1:15" ht="14.25" customHeight="1" x14ac:dyDescent="0.25">
      <c r="A946" s="57"/>
      <c r="B946" s="58"/>
      <c r="C946" s="57"/>
      <c r="D946" s="57"/>
      <c r="E946" s="57"/>
      <c r="F946" s="60"/>
      <c r="G946" s="61"/>
      <c r="H946" s="310" t="s">
        <v>508</v>
      </c>
      <c r="I946" s="312">
        <v>45649</v>
      </c>
      <c r="J946" s="314" t="s">
        <v>251</v>
      </c>
      <c r="K946" s="318" t="s">
        <v>507</v>
      </c>
      <c r="L946" s="318" t="s">
        <v>66</v>
      </c>
      <c r="M946" s="320">
        <v>1080000</v>
      </c>
      <c r="N946" s="53">
        <v>719</v>
      </c>
      <c r="O946" s="54">
        <v>800000</v>
      </c>
    </row>
    <row r="947" spans="1:15" ht="14.25" customHeight="1" thickBot="1" x14ac:dyDescent="0.3">
      <c r="A947" s="57"/>
      <c r="B947" s="58"/>
      <c r="C947" s="57"/>
      <c r="D947" s="57"/>
      <c r="E947" s="57"/>
      <c r="F947" s="60"/>
      <c r="G947" s="61"/>
      <c r="H947" s="319"/>
      <c r="I947" s="313"/>
      <c r="J947" s="315"/>
      <c r="K947" s="319"/>
      <c r="L947" s="319"/>
      <c r="M947" s="321"/>
      <c r="N947" s="55">
        <v>721</v>
      </c>
      <c r="O947" s="56">
        <f>+M946-O946</f>
        <v>280000</v>
      </c>
    </row>
    <row r="948" spans="1:15" ht="15" customHeight="1" x14ac:dyDescent="0.25">
      <c r="A948" s="318"/>
      <c r="B948" s="312"/>
      <c r="C948" s="314"/>
      <c r="D948" s="318"/>
      <c r="E948" s="318"/>
      <c r="F948" s="320"/>
      <c r="G948" s="53">
        <v>719</v>
      </c>
      <c r="H948" s="310" t="s">
        <v>509</v>
      </c>
      <c r="I948" s="312">
        <v>45649</v>
      </c>
      <c r="J948" s="314" t="s">
        <v>136</v>
      </c>
      <c r="K948" s="318" t="s">
        <v>489</v>
      </c>
      <c r="L948" s="318" t="s">
        <v>5</v>
      </c>
      <c r="M948" s="320">
        <v>490000</v>
      </c>
      <c r="N948" s="53">
        <v>719</v>
      </c>
      <c r="O948" s="54">
        <v>490000</v>
      </c>
    </row>
    <row r="949" spans="1:15" ht="12" customHeight="1" thickBot="1" x14ac:dyDescent="0.3">
      <c r="A949" s="319"/>
      <c r="B949" s="313"/>
      <c r="C949" s="315"/>
      <c r="D949" s="319"/>
      <c r="E949" s="319"/>
      <c r="F949" s="321"/>
      <c r="G949" s="55">
        <v>721</v>
      </c>
      <c r="H949" s="319"/>
      <c r="I949" s="313"/>
      <c r="J949" s="315"/>
      <c r="K949" s="319"/>
      <c r="L949" s="319"/>
      <c r="M949" s="321"/>
      <c r="N949" s="55">
        <v>721</v>
      </c>
      <c r="O949" s="56">
        <f>+M948-O948</f>
        <v>0</v>
      </c>
    </row>
    <row r="950" spans="1:15" ht="12" customHeight="1" x14ac:dyDescent="0.25">
      <c r="A950" s="318"/>
      <c r="B950" s="312"/>
      <c r="C950" s="318"/>
      <c r="D950" s="318"/>
      <c r="E950" s="318"/>
      <c r="F950" s="320"/>
      <c r="G950" s="53">
        <v>719</v>
      </c>
      <c r="H950" s="310" t="s">
        <v>510</v>
      </c>
      <c r="I950" s="312">
        <v>45649</v>
      </c>
      <c r="J950" s="314" t="s">
        <v>136</v>
      </c>
      <c r="K950" s="318" t="s">
        <v>501</v>
      </c>
      <c r="L950" s="318" t="s">
        <v>66</v>
      </c>
      <c r="M950" s="320">
        <v>702000</v>
      </c>
      <c r="N950" s="53">
        <v>719</v>
      </c>
      <c r="O950" s="54">
        <v>520000</v>
      </c>
    </row>
    <row r="951" spans="1:15" ht="13.5" customHeight="1" thickBot="1" x14ac:dyDescent="0.3">
      <c r="A951" s="319"/>
      <c r="B951" s="313"/>
      <c r="C951" s="319"/>
      <c r="D951" s="319"/>
      <c r="E951" s="319"/>
      <c r="F951" s="321"/>
      <c r="G951" s="55">
        <v>721</v>
      </c>
      <c r="H951" s="319"/>
      <c r="I951" s="313"/>
      <c r="J951" s="315"/>
      <c r="K951" s="319"/>
      <c r="L951" s="319"/>
      <c r="M951" s="321"/>
      <c r="N951" s="55">
        <v>721</v>
      </c>
      <c r="O951" s="56">
        <f>+M950-O950</f>
        <v>182000</v>
      </c>
    </row>
    <row r="952" spans="1:15" ht="16.5" thickBot="1" x14ac:dyDescent="0.3">
      <c r="A952" s="318"/>
      <c r="B952" s="312"/>
      <c r="C952" s="314"/>
      <c r="D952" s="318"/>
      <c r="E952" s="318"/>
      <c r="F952" s="320"/>
      <c r="G952" s="53">
        <v>719</v>
      </c>
      <c r="H952" s="297" t="s">
        <v>80</v>
      </c>
      <c r="I952" s="298"/>
      <c r="J952" s="298"/>
      <c r="K952" s="298"/>
      <c r="L952" s="299"/>
      <c r="M952" s="62">
        <f>SUM(M940:M951)</f>
        <v>4353500</v>
      </c>
    </row>
    <row r="953" spans="1:15" ht="16.5" thickBot="1" x14ac:dyDescent="0.3">
      <c r="A953" s="319"/>
      <c r="B953" s="313"/>
      <c r="C953" s="315"/>
      <c r="D953" s="319"/>
      <c r="E953" s="319"/>
      <c r="F953" s="321"/>
      <c r="G953" s="55">
        <v>721</v>
      </c>
      <c r="H953" s="300" t="s">
        <v>81</v>
      </c>
      <c r="I953" s="301"/>
      <c r="J953" s="301"/>
      <c r="K953" s="301"/>
      <c r="L953" s="302"/>
      <c r="M953" s="106">
        <f>+M915</f>
        <v>399013986</v>
      </c>
      <c r="N953" s="64" t="s">
        <v>82</v>
      </c>
      <c r="O953" s="65">
        <f>820+1021+1562+1886+624+640</f>
        <v>6553</v>
      </c>
    </row>
    <row r="954" spans="1:15" ht="16.5" thickBot="1" x14ac:dyDescent="0.3">
      <c r="A954" s="297" t="s">
        <v>80</v>
      </c>
      <c r="B954" s="298"/>
      <c r="C954" s="298"/>
      <c r="D954" s="298"/>
      <c r="E954" s="299"/>
      <c r="F954" s="62">
        <f>SUM(F942:F953)</f>
        <v>1764708</v>
      </c>
      <c r="H954" s="303" t="s">
        <v>83</v>
      </c>
      <c r="I954" s="304"/>
      <c r="J954" s="304"/>
      <c r="K954" s="304"/>
      <c r="L954" s="305"/>
      <c r="M954" s="66">
        <f>SUM(M952:M953)</f>
        <v>403367486</v>
      </c>
    </row>
    <row r="955" spans="1:15" ht="6" customHeight="1" thickBot="1" x14ac:dyDescent="0.3">
      <c r="A955" s="300" t="s">
        <v>81</v>
      </c>
      <c r="B955" s="301"/>
      <c r="C955" s="301"/>
      <c r="D955" s="301"/>
      <c r="E955" s="302"/>
      <c r="F955" s="63" t="e">
        <f>+F917</f>
        <v>#REF!</v>
      </c>
      <c r="H955" s="67"/>
      <c r="I955" s="67"/>
      <c r="J955" s="67"/>
      <c r="K955" s="67"/>
      <c r="L955" s="67"/>
    </row>
    <row r="956" spans="1:15" ht="16.5" thickBot="1" x14ac:dyDescent="0.3">
      <c r="A956" s="303" t="s">
        <v>83</v>
      </c>
      <c r="B956" s="304"/>
      <c r="C956" s="304"/>
      <c r="D956" s="304"/>
      <c r="E956" s="305"/>
      <c r="F956" s="66" t="e">
        <f>SUM(F954:F955)</f>
        <v>#REF!</v>
      </c>
      <c r="H956" s="41" t="s">
        <v>511</v>
      </c>
    </row>
    <row r="957" spans="1:15" ht="5.25" customHeight="1" x14ac:dyDescent="0.25">
      <c r="A957" s="67"/>
      <c r="B957" s="67"/>
      <c r="C957" s="67"/>
      <c r="D957" s="67"/>
      <c r="E957" s="67"/>
      <c r="M957" s="68"/>
    </row>
    <row r="958" spans="1:15" x14ac:dyDescent="0.25">
      <c r="A958" s="41" t="s">
        <v>512</v>
      </c>
      <c r="H958" s="40" t="s">
        <v>86</v>
      </c>
      <c r="K958" s="69"/>
      <c r="M958" s="68"/>
    </row>
    <row r="959" spans="1:15" ht="6.75" customHeight="1" thickBot="1" x14ac:dyDescent="0.3">
      <c r="F959" s="68"/>
    </row>
    <row r="960" spans="1:15" ht="15.75" thickBot="1" x14ac:dyDescent="0.3">
      <c r="A960" s="40" t="s">
        <v>86</v>
      </c>
      <c r="D960" s="69"/>
      <c r="F960" s="68"/>
      <c r="H960" s="306" t="s">
        <v>87</v>
      </c>
      <c r="I960" s="307"/>
      <c r="J960" s="307"/>
      <c r="K960" s="308"/>
      <c r="M960" s="40" t="s">
        <v>89</v>
      </c>
    </row>
    <row r="961" spans="1:15" ht="12.75" customHeight="1" thickBot="1" x14ac:dyDescent="0.3">
      <c r="H961" s="70" t="s">
        <v>62</v>
      </c>
      <c r="I961" s="71"/>
      <c r="J961" s="72" t="s">
        <v>91</v>
      </c>
      <c r="K961" s="73" t="s">
        <v>92</v>
      </c>
    </row>
    <row r="962" spans="1:15" ht="13.5" customHeight="1" thickBot="1" x14ac:dyDescent="0.3">
      <c r="A962" s="306" t="s">
        <v>87</v>
      </c>
      <c r="B962" s="307"/>
      <c r="C962" s="307"/>
      <c r="D962" s="308"/>
      <c r="F962" s="40" t="s">
        <v>89</v>
      </c>
      <c r="H962" s="75">
        <v>719</v>
      </c>
      <c r="I962" s="76">
        <f>+O940+O944+O948+O950+O946+O942</f>
        <v>3580000</v>
      </c>
      <c r="J962" s="77">
        <f>+K923</f>
        <v>58476000</v>
      </c>
      <c r="K962" s="79">
        <f>+I962+J962</f>
        <v>62056000</v>
      </c>
    </row>
    <row r="963" spans="1:15" ht="13.5" customHeight="1" thickBot="1" x14ac:dyDescent="0.3">
      <c r="A963" s="70" t="s">
        <v>62</v>
      </c>
      <c r="B963" s="71" t="s">
        <v>90</v>
      </c>
      <c r="C963" s="72" t="s">
        <v>91</v>
      </c>
      <c r="D963" s="73" t="s">
        <v>92</v>
      </c>
      <c r="H963" s="80">
        <v>721</v>
      </c>
      <c r="I963" s="81">
        <f>+O941+O943+O945+O949+O951+O947</f>
        <v>773500</v>
      </c>
      <c r="J963" s="77">
        <f>+K924</f>
        <v>11356000</v>
      </c>
      <c r="K963" s="79">
        <f>+I963+J963</f>
        <v>12129500</v>
      </c>
    </row>
    <row r="964" spans="1:15" ht="12.75" hidden="1" customHeight="1" x14ac:dyDescent="0.25">
      <c r="A964" s="75">
        <v>719</v>
      </c>
      <c r="B964" s="76">
        <f>0</f>
        <v>0</v>
      </c>
      <c r="C964" s="77" t="e">
        <f>+D925</f>
        <v>#REF!</v>
      </c>
      <c r="D964" s="79" t="e">
        <f>+B964+C964</f>
        <v>#REF!</v>
      </c>
      <c r="H964" s="80">
        <v>722</v>
      </c>
      <c r="I964" s="81"/>
      <c r="J964" s="77">
        <f>+K925</f>
        <v>0</v>
      </c>
      <c r="K964" s="79">
        <f>+I964+J964</f>
        <v>0</v>
      </c>
    </row>
    <row r="965" spans="1:15" ht="14.25" customHeight="1" thickBot="1" x14ac:dyDescent="0.3">
      <c r="A965" s="80">
        <v>721</v>
      </c>
      <c r="B965" s="81" t="e">
        <f>+#REF!</f>
        <v>#REF!</v>
      </c>
      <c r="C965" s="77" t="e">
        <f>+D926</f>
        <v>#REF!</v>
      </c>
      <c r="D965" s="79" t="e">
        <f>+B965+C965</f>
        <v>#REF!</v>
      </c>
      <c r="H965" s="80">
        <v>723</v>
      </c>
      <c r="I965" s="81"/>
      <c r="J965" s="77">
        <f>+K926</f>
        <v>329181986</v>
      </c>
      <c r="K965" s="79">
        <f>+I965+J965</f>
        <v>329181986</v>
      </c>
      <c r="M965" s="343"/>
      <c r="N965" s="343"/>
      <c r="O965" s="343"/>
    </row>
    <row r="966" spans="1:15" ht="13.5" hidden="1" customHeight="1" x14ac:dyDescent="0.25">
      <c r="A966" s="80">
        <v>722</v>
      </c>
      <c r="B966" s="81"/>
      <c r="C966" s="77" t="e">
        <f>+D927</f>
        <v>#REF!</v>
      </c>
      <c r="D966" s="79" t="e">
        <f>+B966+C966</f>
        <v>#REF!</v>
      </c>
      <c r="H966" s="85" t="s">
        <v>94</v>
      </c>
      <c r="I966" s="86"/>
      <c r="J966" s="77" t="e">
        <f>+K927</f>
        <v>#REF!</v>
      </c>
      <c r="K966" s="89" t="e">
        <f>+I966+J966</f>
        <v>#REF!</v>
      </c>
      <c r="M966" s="45"/>
    </row>
    <row r="967" spans="1:15" ht="15" customHeight="1" thickBot="1" x14ac:dyDescent="0.3">
      <c r="A967" s="80">
        <v>723</v>
      </c>
      <c r="B967" s="81" t="e">
        <f>+#REF!</f>
        <v>#REF!</v>
      </c>
      <c r="C967" s="77" t="e">
        <f>+D928</f>
        <v>#REF!</v>
      </c>
      <c r="D967" s="79" t="e">
        <f>+B967+C967</f>
        <v>#REF!</v>
      </c>
      <c r="F967" s="83" t="s">
        <v>93</v>
      </c>
      <c r="G967" s="84"/>
      <c r="H967" s="90"/>
      <c r="I967" s="94">
        <f>SUM(I962:I966)</f>
        <v>4353500</v>
      </c>
      <c r="J967" s="94" t="e">
        <f>SUM(J962:J966)</f>
        <v>#REF!</v>
      </c>
      <c r="K967" s="95" t="e">
        <f>SUM(K962:K966)</f>
        <v>#REF!</v>
      </c>
    </row>
    <row r="968" spans="1:15" ht="15" customHeight="1" thickBot="1" x14ac:dyDescent="0.3">
      <c r="A968" s="85" t="s">
        <v>94</v>
      </c>
      <c r="B968" s="86"/>
      <c r="C968" s="77" t="e">
        <f>+D929</f>
        <v>#REF!</v>
      </c>
      <c r="D968" s="89" t="e">
        <f>+B968+C968</f>
        <v>#REF!</v>
      </c>
      <c r="F968" s="45"/>
      <c r="H968" s="39" t="s">
        <v>46</v>
      </c>
      <c r="I968" s="40"/>
    </row>
    <row r="969" spans="1:15" ht="14.25" customHeight="1" thickBot="1" x14ac:dyDescent="0.3">
      <c r="A969" s="90"/>
      <c r="B969" s="91" t="e">
        <f>SUM(B964:B968)</f>
        <v>#REF!</v>
      </c>
      <c r="C969" s="92" t="e">
        <f>SUM(C964:C968)</f>
        <v>#REF!</v>
      </c>
      <c r="D969" s="93" t="e">
        <f>SUM(D964:D968)</f>
        <v>#REF!</v>
      </c>
      <c r="H969" s="41" t="s">
        <v>47</v>
      </c>
    </row>
    <row r="970" spans="1:15" ht="14.25" customHeight="1" x14ac:dyDescent="0.25">
      <c r="A970" s="39" t="s">
        <v>46</v>
      </c>
      <c r="B970" s="40"/>
      <c r="H970" s="41" t="s">
        <v>48</v>
      </c>
    </row>
    <row r="971" spans="1:15" x14ac:dyDescent="0.25">
      <c r="A971" s="41" t="s">
        <v>47</v>
      </c>
      <c r="H971" s="41" t="s">
        <v>49</v>
      </c>
    </row>
    <row r="972" spans="1:15" ht="5.25" customHeight="1" x14ac:dyDescent="0.25">
      <c r="A972" s="41" t="s">
        <v>48</v>
      </c>
      <c r="H972" s="40"/>
      <c r="I972" s="40"/>
    </row>
    <row r="973" spans="1:15" ht="15" customHeight="1" x14ac:dyDescent="0.25">
      <c r="A973" s="41" t="s">
        <v>49</v>
      </c>
      <c r="H973" s="45" t="s">
        <v>513</v>
      </c>
      <c r="N973" s="45"/>
    </row>
    <row r="974" spans="1:15" ht="15.75" customHeight="1" x14ac:dyDescent="0.25">
      <c r="A974" s="40"/>
      <c r="B974" s="40"/>
      <c r="H974" s="47" t="s">
        <v>394</v>
      </c>
      <c r="N974" s="47"/>
    </row>
    <row r="975" spans="1:15" ht="16.5" x14ac:dyDescent="0.25">
      <c r="A975" s="45" t="s">
        <v>514</v>
      </c>
      <c r="G975" s="45"/>
      <c r="H975" s="326" t="s">
        <v>515</v>
      </c>
      <c r="I975" s="326"/>
      <c r="J975" s="326"/>
      <c r="K975" s="326"/>
      <c r="L975" s="326"/>
      <c r="M975" s="326"/>
      <c r="N975" s="326"/>
      <c r="O975" s="326"/>
    </row>
    <row r="976" spans="1:15" ht="7.5" customHeight="1" thickBot="1" x14ac:dyDescent="0.3">
      <c r="A976" s="47" t="s">
        <v>52</v>
      </c>
      <c r="G976" s="47"/>
    </row>
    <row r="977" spans="1:15" ht="16.5" x14ac:dyDescent="0.25">
      <c r="A977" s="326" t="s">
        <v>500</v>
      </c>
      <c r="B977" s="326"/>
      <c r="C977" s="326"/>
      <c r="D977" s="326"/>
      <c r="E977" s="326"/>
      <c r="F977" s="326"/>
      <c r="G977" s="326"/>
      <c r="H977" s="327" t="s">
        <v>56</v>
      </c>
      <c r="I977" s="322" t="s">
        <v>57</v>
      </c>
      <c r="J977" s="322" t="s">
        <v>58</v>
      </c>
      <c r="K977" s="322" t="s">
        <v>7</v>
      </c>
      <c r="L977" s="322" t="s">
        <v>59</v>
      </c>
      <c r="M977" s="322" t="s">
        <v>60</v>
      </c>
      <c r="N977" s="322" t="s">
        <v>61</v>
      </c>
      <c r="O977" s="324"/>
    </row>
    <row r="978" spans="1:15" ht="15.75" thickBot="1" x14ac:dyDescent="0.3">
      <c r="H978" s="328"/>
      <c r="I978" s="323"/>
      <c r="J978" s="323"/>
      <c r="K978" s="323"/>
      <c r="L978" s="323"/>
      <c r="M978" s="323"/>
      <c r="N978" s="51" t="s">
        <v>62</v>
      </c>
      <c r="O978" s="52" t="s">
        <v>63</v>
      </c>
    </row>
    <row r="979" spans="1:15" ht="12.75" customHeight="1" x14ac:dyDescent="0.25">
      <c r="A979" s="327" t="s">
        <v>56</v>
      </c>
      <c r="B979" s="322" t="s">
        <v>57</v>
      </c>
      <c r="C979" s="322" t="s">
        <v>58</v>
      </c>
      <c r="D979" s="322" t="s">
        <v>7</v>
      </c>
      <c r="E979" s="322" t="s">
        <v>59</v>
      </c>
      <c r="F979" s="322" t="s">
        <v>60</v>
      </c>
      <c r="G979" s="50" t="s">
        <v>61</v>
      </c>
      <c r="H979" s="310" t="s">
        <v>516</v>
      </c>
      <c r="I979" s="312">
        <v>45649</v>
      </c>
      <c r="J979" s="318" t="s">
        <v>68</v>
      </c>
      <c r="K979" s="318" t="s">
        <v>517</v>
      </c>
      <c r="L979" s="318" t="s">
        <v>5</v>
      </c>
      <c r="M979" s="320">
        <v>500000</v>
      </c>
      <c r="N979" s="53">
        <v>719</v>
      </c>
      <c r="O979" s="54">
        <v>500000</v>
      </c>
    </row>
    <row r="980" spans="1:15" ht="12.75" customHeight="1" thickBot="1" x14ac:dyDescent="0.3">
      <c r="A980" s="328"/>
      <c r="B980" s="323"/>
      <c r="C980" s="323"/>
      <c r="D980" s="323"/>
      <c r="E980" s="323"/>
      <c r="F980" s="323"/>
      <c r="G980" s="51" t="s">
        <v>62</v>
      </c>
      <c r="H980" s="311"/>
      <c r="I980" s="313"/>
      <c r="J980" s="319"/>
      <c r="K980" s="319"/>
      <c r="L980" s="319"/>
      <c r="M980" s="321"/>
      <c r="N980" s="55">
        <v>721</v>
      </c>
      <c r="O980" s="56">
        <f>+M979-O979</f>
        <v>0</v>
      </c>
    </row>
    <row r="981" spans="1:15" ht="13.5" customHeight="1" x14ac:dyDescent="0.25">
      <c r="A981" s="318" t="e">
        <f>+A942+1</f>
        <v>#REF!</v>
      </c>
      <c r="B981" s="312">
        <v>42332</v>
      </c>
      <c r="C981" s="314" t="s">
        <v>297</v>
      </c>
      <c r="D981" s="318" t="s">
        <v>518</v>
      </c>
      <c r="E981" s="318" t="s">
        <v>66</v>
      </c>
      <c r="F981" s="320">
        <v>120000</v>
      </c>
      <c r="G981" s="53">
        <v>719</v>
      </c>
      <c r="H981" s="318">
        <f>+H979+1</f>
        <v>127</v>
      </c>
      <c r="I981" s="312">
        <v>45649</v>
      </c>
      <c r="J981" s="318" t="s">
        <v>68</v>
      </c>
      <c r="K981" s="318" t="s">
        <v>519</v>
      </c>
      <c r="L981" s="318" t="s">
        <v>5</v>
      </c>
      <c r="M981" s="320">
        <v>500000</v>
      </c>
      <c r="N981" s="53">
        <v>719</v>
      </c>
      <c r="O981" s="54">
        <v>500000</v>
      </c>
    </row>
    <row r="982" spans="1:15" ht="13.5" customHeight="1" thickBot="1" x14ac:dyDescent="0.3">
      <c r="A982" s="319"/>
      <c r="B982" s="313"/>
      <c r="C982" s="315"/>
      <c r="D982" s="319"/>
      <c r="E982" s="319"/>
      <c r="F982" s="321"/>
      <c r="G982" s="55">
        <v>721</v>
      </c>
      <c r="H982" s="319"/>
      <c r="I982" s="313"/>
      <c r="J982" s="319"/>
      <c r="K982" s="319"/>
      <c r="L982" s="319"/>
      <c r="M982" s="321"/>
      <c r="N982" s="55">
        <v>721</v>
      </c>
      <c r="O982" s="56">
        <f>+M981-O981</f>
        <v>0</v>
      </c>
    </row>
    <row r="983" spans="1:15" ht="15" customHeight="1" x14ac:dyDescent="0.25">
      <c r="A983" s="318" t="e">
        <f>+A981+1</f>
        <v>#REF!</v>
      </c>
      <c r="B983" s="312">
        <v>42332</v>
      </c>
      <c r="C983" s="318" t="s">
        <v>70</v>
      </c>
      <c r="D983" s="318" t="s">
        <v>520</v>
      </c>
      <c r="E983" s="318" t="s">
        <v>66</v>
      </c>
      <c r="F983" s="320">
        <v>50000</v>
      </c>
      <c r="G983" s="53">
        <v>719</v>
      </c>
      <c r="H983" s="318">
        <f>+H981+1</f>
        <v>128</v>
      </c>
      <c r="I983" s="312">
        <v>45649</v>
      </c>
      <c r="J983" s="318" t="s">
        <v>68</v>
      </c>
      <c r="K983" s="318" t="s">
        <v>521</v>
      </c>
      <c r="L983" s="318" t="s">
        <v>5</v>
      </c>
      <c r="M983" s="320">
        <v>510000</v>
      </c>
      <c r="N983" s="53">
        <v>719</v>
      </c>
      <c r="O983" s="54">
        <v>510000</v>
      </c>
    </row>
    <row r="984" spans="1:15" ht="10.5" customHeight="1" thickBot="1" x14ac:dyDescent="0.3">
      <c r="A984" s="319"/>
      <c r="B984" s="313"/>
      <c r="C984" s="319"/>
      <c r="D984" s="319"/>
      <c r="E984" s="319"/>
      <c r="F984" s="321"/>
      <c r="G984" s="55">
        <v>721</v>
      </c>
      <c r="H984" s="319"/>
      <c r="I984" s="313"/>
      <c r="J984" s="319"/>
      <c r="K984" s="319"/>
      <c r="L984" s="319"/>
      <c r="M984" s="321"/>
      <c r="N984" s="55">
        <v>721</v>
      </c>
      <c r="O984" s="56">
        <f>+M983-O983</f>
        <v>0</v>
      </c>
    </row>
    <row r="985" spans="1:15" ht="11.25" customHeight="1" x14ac:dyDescent="0.25">
      <c r="A985" s="57"/>
      <c r="B985" s="58"/>
      <c r="C985" s="57"/>
      <c r="D985" s="57"/>
      <c r="E985" s="57"/>
      <c r="F985" s="60"/>
      <c r="G985" s="61"/>
      <c r="H985" s="318">
        <f>+H983+1</f>
        <v>129</v>
      </c>
      <c r="I985" s="312">
        <v>45649</v>
      </c>
      <c r="J985" s="318" t="s">
        <v>68</v>
      </c>
      <c r="K985" s="318" t="s">
        <v>522</v>
      </c>
      <c r="L985" s="318" t="s">
        <v>5</v>
      </c>
      <c r="M985" s="320">
        <v>520000</v>
      </c>
      <c r="N985" s="53">
        <v>719</v>
      </c>
      <c r="O985" s="54">
        <v>520000</v>
      </c>
    </row>
    <row r="986" spans="1:15" ht="12" customHeight="1" thickBot="1" x14ac:dyDescent="0.3">
      <c r="A986" s="57"/>
      <c r="B986" s="58"/>
      <c r="C986" s="57"/>
      <c r="D986" s="57"/>
      <c r="E986" s="57"/>
      <c r="F986" s="60"/>
      <c r="G986" s="61"/>
      <c r="H986" s="319"/>
      <c r="I986" s="313"/>
      <c r="J986" s="319"/>
      <c r="K986" s="319"/>
      <c r="L986" s="319"/>
      <c r="M986" s="321"/>
      <c r="N986" s="55">
        <v>721</v>
      </c>
      <c r="O986" s="56">
        <f>+M985-O985</f>
        <v>0</v>
      </c>
    </row>
    <row r="987" spans="1:15" ht="12" customHeight="1" x14ac:dyDescent="0.25">
      <c r="A987" s="57"/>
      <c r="B987" s="58"/>
      <c r="C987" s="57"/>
      <c r="D987" s="57"/>
      <c r="E987" s="57"/>
      <c r="F987" s="60"/>
      <c r="G987" s="61"/>
      <c r="H987" s="318">
        <f>+H985+1</f>
        <v>130</v>
      </c>
      <c r="I987" s="312">
        <v>45649</v>
      </c>
      <c r="J987" s="318" t="s">
        <v>188</v>
      </c>
      <c r="K987" s="318" t="s">
        <v>507</v>
      </c>
      <c r="L987" s="318" t="s">
        <v>66</v>
      </c>
      <c r="M987" s="320">
        <v>661500</v>
      </c>
      <c r="N987" s="53">
        <v>719</v>
      </c>
      <c r="O987" s="54">
        <v>490000</v>
      </c>
    </row>
    <row r="988" spans="1:15" ht="15.75" customHeight="1" thickBot="1" x14ac:dyDescent="0.3">
      <c r="A988" s="57"/>
      <c r="B988" s="58"/>
      <c r="C988" s="57"/>
      <c r="D988" s="57"/>
      <c r="E988" s="57"/>
      <c r="F988" s="60"/>
      <c r="G988" s="61"/>
      <c r="H988" s="319"/>
      <c r="I988" s="313"/>
      <c r="J988" s="319"/>
      <c r="K988" s="319"/>
      <c r="L988" s="319"/>
      <c r="M988" s="321"/>
      <c r="N988" s="55">
        <v>721</v>
      </c>
      <c r="O988" s="56">
        <f>+M987-O987</f>
        <v>171500</v>
      </c>
    </row>
    <row r="989" spans="1:15" ht="13.5" customHeight="1" x14ac:dyDescent="0.25">
      <c r="A989" s="318" t="e">
        <f>+A983+1</f>
        <v>#REF!</v>
      </c>
      <c r="B989" s="312">
        <v>42332</v>
      </c>
      <c r="C989" s="314" t="s">
        <v>106</v>
      </c>
      <c r="D989" s="318" t="s">
        <v>523</v>
      </c>
      <c r="E989" s="318" t="s">
        <v>66</v>
      </c>
      <c r="F989" s="320">
        <v>20000</v>
      </c>
      <c r="G989" s="53">
        <v>719</v>
      </c>
      <c r="H989" s="310" t="s">
        <v>524</v>
      </c>
      <c r="I989" s="312">
        <v>45649</v>
      </c>
      <c r="J989" s="318" t="s">
        <v>68</v>
      </c>
      <c r="K989" s="318" t="s">
        <v>137</v>
      </c>
      <c r="L989" s="318" t="s">
        <v>5</v>
      </c>
      <c r="M989" s="320">
        <v>-46252500</v>
      </c>
      <c r="N989" s="53">
        <v>719</v>
      </c>
      <c r="O989" s="54"/>
    </row>
    <row r="990" spans="1:15" ht="16.5" customHeight="1" thickBot="1" x14ac:dyDescent="0.3">
      <c r="A990" s="319"/>
      <c r="B990" s="313"/>
      <c r="C990" s="315"/>
      <c r="D990" s="319"/>
      <c r="E990" s="319"/>
      <c r="F990" s="321"/>
      <c r="G990" s="55">
        <v>721</v>
      </c>
      <c r="H990" s="311"/>
      <c r="I990" s="313"/>
      <c r="J990" s="319"/>
      <c r="K990" s="319"/>
      <c r="L990" s="319"/>
      <c r="M990" s="321"/>
      <c r="N990" s="55">
        <v>723</v>
      </c>
      <c r="O990" s="56">
        <f>+M989-O989</f>
        <v>-46252500</v>
      </c>
    </row>
    <row r="991" spans="1:15" ht="16.5" thickBot="1" x14ac:dyDescent="0.3">
      <c r="A991" s="318"/>
      <c r="B991" s="312"/>
      <c r="C991" s="314"/>
      <c r="D991" s="318"/>
      <c r="E991" s="318"/>
      <c r="F991" s="320"/>
      <c r="G991" s="53">
        <v>719</v>
      </c>
      <c r="H991" s="297" t="s">
        <v>80</v>
      </c>
      <c r="I991" s="298"/>
      <c r="J991" s="298"/>
      <c r="K991" s="298"/>
      <c r="L991" s="299"/>
      <c r="M991" s="62">
        <f>SUM(M979:M990)</f>
        <v>-43561000</v>
      </c>
    </row>
    <row r="992" spans="1:15" ht="16.5" thickBot="1" x14ac:dyDescent="0.3">
      <c r="A992" s="319"/>
      <c r="B992" s="313"/>
      <c r="C992" s="315"/>
      <c r="D992" s="319"/>
      <c r="E992" s="319"/>
      <c r="F992" s="321"/>
      <c r="G992" s="55">
        <v>721</v>
      </c>
      <c r="H992" s="300" t="s">
        <v>81</v>
      </c>
      <c r="I992" s="301"/>
      <c r="J992" s="301"/>
      <c r="K992" s="301"/>
      <c r="L992" s="302"/>
      <c r="M992" s="106">
        <f>+M954</f>
        <v>403367486</v>
      </c>
      <c r="N992" s="64" t="s">
        <v>82</v>
      </c>
      <c r="O992" s="65">
        <f>830+347+372+127+346</f>
        <v>2022</v>
      </c>
    </row>
    <row r="993" spans="1:15" ht="16.5" thickBot="1" x14ac:dyDescent="0.3">
      <c r="A993" s="297" t="s">
        <v>80</v>
      </c>
      <c r="B993" s="298"/>
      <c r="C993" s="298"/>
      <c r="D993" s="298"/>
      <c r="E993" s="299"/>
      <c r="F993" s="62">
        <f>SUM(F981:F992)</f>
        <v>190000</v>
      </c>
      <c r="H993" s="303" t="s">
        <v>83</v>
      </c>
      <c r="I993" s="304"/>
      <c r="J993" s="304"/>
      <c r="K993" s="304"/>
      <c r="L993" s="305"/>
      <c r="M993" s="66">
        <f>SUM(M991:M992)</f>
        <v>359806486</v>
      </c>
    </row>
    <row r="994" spans="1:15" ht="5.25" customHeight="1" thickBot="1" x14ac:dyDescent="0.3">
      <c r="A994" s="300" t="s">
        <v>81</v>
      </c>
      <c r="B994" s="301"/>
      <c r="C994" s="301"/>
      <c r="D994" s="301"/>
      <c r="E994" s="302"/>
      <c r="F994" s="63" t="e">
        <f>+F956</f>
        <v>#REF!</v>
      </c>
      <c r="H994" s="67"/>
      <c r="I994" s="67"/>
      <c r="J994" s="67"/>
      <c r="K994" s="67"/>
      <c r="L994" s="67"/>
    </row>
    <row r="995" spans="1:15" ht="16.5" thickBot="1" x14ac:dyDescent="0.3">
      <c r="A995" s="303" t="s">
        <v>83</v>
      </c>
      <c r="B995" s="304"/>
      <c r="C995" s="304"/>
      <c r="D995" s="304"/>
      <c r="E995" s="305"/>
      <c r="F995" s="66" t="e">
        <f>SUM(F993:F994)</f>
        <v>#REF!</v>
      </c>
      <c r="H995" s="41" t="s">
        <v>525</v>
      </c>
    </row>
    <row r="996" spans="1:15" ht="5.25" customHeight="1" x14ac:dyDescent="0.25">
      <c r="A996" s="67"/>
      <c r="B996" s="67"/>
      <c r="C996" s="67"/>
      <c r="D996" s="67"/>
      <c r="E996" s="67"/>
      <c r="M996" s="68"/>
    </row>
    <row r="997" spans="1:15" x14ac:dyDescent="0.25">
      <c r="A997" s="41" t="s">
        <v>526</v>
      </c>
      <c r="H997" s="40" t="s">
        <v>86</v>
      </c>
      <c r="K997" s="69"/>
      <c r="M997" s="68"/>
    </row>
    <row r="998" spans="1:15" ht="6" customHeight="1" thickBot="1" x14ac:dyDescent="0.3">
      <c r="F998" s="68"/>
    </row>
    <row r="999" spans="1:15" ht="15.75" customHeight="1" thickBot="1" x14ac:dyDescent="0.3">
      <c r="A999" s="40" t="s">
        <v>86</v>
      </c>
      <c r="D999" s="69"/>
      <c r="F999" s="68"/>
      <c r="H999" s="306" t="s">
        <v>87</v>
      </c>
      <c r="I999" s="307"/>
      <c r="J999" s="307"/>
      <c r="K999" s="308"/>
      <c r="M999" s="40" t="s">
        <v>89</v>
      </c>
    </row>
    <row r="1000" spans="1:15" ht="12" customHeight="1" thickBot="1" x14ac:dyDescent="0.3">
      <c r="H1000" s="70" t="s">
        <v>62</v>
      </c>
      <c r="I1000" s="71" t="s">
        <v>90</v>
      </c>
      <c r="J1000" s="72" t="s">
        <v>91</v>
      </c>
      <c r="K1000" s="73" t="s">
        <v>92</v>
      </c>
    </row>
    <row r="1001" spans="1:15" ht="14.25" customHeight="1" thickBot="1" x14ac:dyDescent="0.3">
      <c r="A1001" s="306" t="s">
        <v>87</v>
      </c>
      <c r="B1001" s="307"/>
      <c r="C1001" s="307"/>
      <c r="D1001" s="308"/>
      <c r="F1001" s="40" t="s">
        <v>89</v>
      </c>
      <c r="H1001" s="75">
        <v>719</v>
      </c>
      <c r="I1001" s="76">
        <f>+O979+O981+O983+O985+O987+O989</f>
        <v>2520000</v>
      </c>
      <c r="J1001" s="77">
        <f>+K962</f>
        <v>62056000</v>
      </c>
      <c r="K1001" s="79">
        <f>+I1001+J1001</f>
        <v>64576000</v>
      </c>
    </row>
    <row r="1002" spans="1:15" ht="14.25" customHeight="1" thickBot="1" x14ac:dyDescent="0.3">
      <c r="A1002" s="70" t="s">
        <v>62</v>
      </c>
      <c r="B1002" s="71" t="s">
        <v>90</v>
      </c>
      <c r="C1002" s="72" t="s">
        <v>91</v>
      </c>
      <c r="D1002" s="73" t="s">
        <v>92</v>
      </c>
      <c r="H1002" s="80">
        <v>721</v>
      </c>
      <c r="I1002" s="81">
        <f>+O988</f>
        <v>171500</v>
      </c>
      <c r="J1002" s="77">
        <f>+K963</f>
        <v>12129500</v>
      </c>
      <c r="K1002" s="79">
        <f>+I1002+J1002</f>
        <v>12301000</v>
      </c>
    </row>
    <row r="1003" spans="1:15" ht="11.25" hidden="1" customHeight="1" x14ac:dyDescent="0.25">
      <c r="A1003" s="75">
        <v>719</v>
      </c>
      <c r="B1003" s="76" t="e">
        <f>+#REF!+#REF!+#REF!+#REF!</f>
        <v>#REF!</v>
      </c>
      <c r="C1003" s="77" t="e">
        <f>+D964</f>
        <v>#REF!</v>
      </c>
      <c r="D1003" s="79" t="e">
        <f>+B1003+C1003</f>
        <v>#REF!</v>
      </c>
      <c r="H1003" s="80">
        <v>722</v>
      </c>
      <c r="I1003" s="81"/>
      <c r="J1003" s="77">
        <f>+K964</f>
        <v>0</v>
      </c>
      <c r="K1003" s="79">
        <f>+I1003+J1003</f>
        <v>0</v>
      </c>
    </row>
    <row r="1004" spans="1:15" ht="15.75" customHeight="1" thickBot="1" x14ac:dyDescent="0.3">
      <c r="A1004" s="80">
        <v>721</v>
      </c>
      <c r="B1004" s="81" t="e">
        <f>+#REF!</f>
        <v>#REF!</v>
      </c>
      <c r="C1004" s="77" t="e">
        <f>+D965</f>
        <v>#REF!</v>
      </c>
      <c r="D1004" s="79" t="e">
        <f>+B1004+C1004</f>
        <v>#REF!</v>
      </c>
      <c r="H1004" s="80">
        <v>723</v>
      </c>
      <c r="I1004" s="81">
        <f>+O990</f>
        <v>-46252500</v>
      </c>
      <c r="J1004" s="77">
        <f>+K965</f>
        <v>329181986</v>
      </c>
      <c r="K1004" s="79">
        <f>+I1004+J1004</f>
        <v>282929486</v>
      </c>
      <c r="M1004" s="343"/>
      <c r="N1004" s="343"/>
      <c r="O1004" s="343"/>
    </row>
    <row r="1005" spans="1:15" ht="14.25" hidden="1" customHeight="1" x14ac:dyDescent="0.25">
      <c r="A1005" s="80">
        <v>722</v>
      </c>
      <c r="B1005" s="81"/>
      <c r="C1005" s="77" t="e">
        <f>+D966</f>
        <v>#REF!</v>
      </c>
      <c r="D1005" s="79" t="e">
        <f>+B1005+C1005</f>
        <v>#REF!</v>
      </c>
      <c r="H1005" s="85" t="s">
        <v>94</v>
      </c>
      <c r="I1005" s="86"/>
      <c r="J1005" s="77" t="e">
        <f>+K966</f>
        <v>#REF!</v>
      </c>
      <c r="K1005" s="89" t="e">
        <f>+I1005+J1005</f>
        <v>#REF!</v>
      </c>
      <c r="M1005" s="45"/>
    </row>
    <row r="1006" spans="1:15" ht="16.5" customHeight="1" thickBot="1" x14ac:dyDescent="0.3">
      <c r="A1006" s="80">
        <v>723</v>
      </c>
      <c r="B1006" s="81"/>
      <c r="C1006" s="77" t="e">
        <f>+D967</f>
        <v>#REF!</v>
      </c>
      <c r="D1006" s="79" t="e">
        <f>+B1006+C1006</f>
        <v>#REF!</v>
      </c>
      <c r="F1006" s="83" t="s">
        <v>93</v>
      </c>
      <c r="G1006" s="84"/>
      <c r="H1006" s="90"/>
      <c r="I1006" s="94">
        <f>SUM(I1001:I1005)</f>
        <v>-43561000</v>
      </c>
      <c r="J1006" s="94" t="e">
        <f>SUM(J1001:J1005)</f>
        <v>#REF!</v>
      </c>
      <c r="K1006" s="95" t="e">
        <f>SUM(K1001:K1005)</f>
        <v>#REF!</v>
      </c>
    </row>
    <row r="1007" spans="1:15" ht="16.5" customHeight="1" thickBot="1" x14ac:dyDescent="0.3">
      <c r="A1007" s="85" t="s">
        <v>94</v>
      </c>
      <c r="B1007" s="86"/>
      <c r="C1007" s="77" t="e">
        <f>+D968</f>
        <v>#REF!</v>
      </c>
      <c r="D1007" s="89" t="e">
        <f>+B1007+C1007</f>
        <v>#REF!</v>
      </c>
      <c r="F1007" s="45"/>
      <c r="H1007" s="39" t="s">
        <v>46</v>
      </c>
      <c r="I1007" s="40"/>
    </row>
    <row r="1008" spans="1:15" ht="16.5" thickBot="1" x14ac:dyDescent="0.3">
      <c r="A1008" s="90"/>
      <c r="B1008" s="91" t="e">
        <f>SUM(B1003:B1007)</f>
        <v>#REF!</v>
      </c>
      <c r="C1008" s="92" t="e">
        <f>SUM(C1003:C1007)</f>
        <v>#REF!</v>
      </c>
      <c r="D1008" s="93" t="e">
        <f>SUM(D1003:D1007)</f>
        <v>#REF!</v>
      </c>
      <c r="H1008" s="41" t="s">
        <v>47</v>
      </c>
    </row>
    <row r="1009" spans="1:15" ht="16.5" x14ac:dyDescent="0.25">
      <c r="A1009" s="39" t="s">
        <v>46</v>
      </c>
      <c r="B1009" s="40"/>
      <c r="H1009" s="41" t="s">
        <v>48</v>
      </c>
    </row>
    <row r="1010" spans="1:15" x14ac:dyDescent="0.25">
      <c r="A1010" s="41" t="s">
        <v>47</v>
      </c>
      <c r="H1010" s="41" t="s">
        <v>49</v>
      </c>
    </row>
    <row r="1011" spans="1:15" ht="6" customHeight="1" x14ac:dyDescent="0.25">
      <c r="A1011" s="41" t="s">
        <v>48</v>
      </c>
      <c r="H1011" s="40"/>
      <c r="I1011" s="40"/>
    </row>
    <row r="1012" spans="1:15" ht="16.5" x14ac:dyDescent="0.25">
      <c r="A1012" s="41" t="s">
        <v>49</v>
      </c>
      <c r="H1012" s="45" t="s">
        <v>527</v>
      </c>
      <c r="N1012" s="45"/>
    </row>
    <row r="1013" spans="1:15" ht="14.25" customHeight="1" x14ac:dyDescent="0.25">
      <c r="A1013" s="40"/>
      <c r="B1013" s="40"/>
      <c r="H1013" s="47" t="s">
        <v>394</v>
      </c>
      <c r="N1013" s="47"/>
    </row>
    <row r="1014" spans="1:15" ht="16.5" x14ac:dyDescent="0.25">
      <c r="A1014" s="45" t="s">
        <v>528</v>
      </c>
      <c r="G1014" s="45"/>
      <c r="H1014" s="326" t="s">
        <v>529</v>
      </c>
      <c r="I1014" s="326"/>
      <c r="J1014" s="326"/>
      <c r="K1014" s="326"/>
      <c r="L1014" s="326"/>
      <c r="M1014" s="326"/>
      <c r="N1014" s="326"/>
      <c r="O1014" s="326"/>
    </row>
    <row r="1015" spans="1:15" ht="13.5" customHeight="1" thickBot="1" x14ac:dyDescent="0.3">
      <c r="A1015" s="47" t="s">
        <v>52</v>
      </c>
      <c r="G1015" s="47"/>
    </row>
    <row r="1016" spans="1:15" ht="16.5" x14ac:dyDescent="0.25">
      <c r="A1016" s="326" t="s">
        <v>500</v>
      </c>
      <c r="B1016" s="326"/>
      <c r="C1016" s="326"/>
      <c r="D1016" s="326"/>
      <c r="E1016" s="326"/>
      <c r="F1016" s="326"/>
      <c r="G1016" s="326"/>
      <c r="H1016" s="327" t="s">
        <v>56</v>
      </c>
      <c r="I1016" s="322" t="s">
        <v>57</v>
      </c>
      <c r="J1016" s="322" t="s">
        <v>58</v>
      </c>
      <c r="K1016" s="322" t="s">
        <v>7</v>
      </c>
      <c r="L1016" s="322" t="s">
        <v>59</v>
      </c>
      <c r="M1016" s="322" t="s">
        <v>60</v>
      </c>
      <c r="N1016" s="322" t="s">
        <v>61</v>
      </c>
      <c r="O1016" s="324"/>
    </row>
    <row r="1017" spans="1:15" ht="15.75" thickBot="1" x14ac:dyDescent="0.3">
      <c r="H1017" s="328"/>
      <c r="I1017" s="323"/>
      <c r="J1017" s="323"/>
      <c r="K1017" s="323"/>
      <c r="L1017" s="323"/>
      <c r="M1017" s="323"/>
      <c r="N1017" s="51" t="s">
        <v>62</v>
      </c>
      <c r="O1017" s="52" t="s">
        <v>63</v>
      </c>
    </row>
    <row r="1018" spans="1:15" ht="14.25" customHeight="1" x14ac:dyDescent="0.25">
      <c r="A1018" s="327" t="s">
        <v>56</v>
      </c>
      <c r="B1018" s="322" t="s">
        <v>57</v>
      </c>
      <c r="C1018" s="322" t="s">
        <v>58</v>
      </c>
      <c r="D1018" s="322" t="s">
        <v>7</v>
      </c>
      <c r="E1018" s="322" t="s">
        <v>59</v>
      </c>
      <c r="F1018" s="322" t="s">
        <v>60</v>
      </c>
      <c r="G1018" s="50" t="s">
        <v>61</v>
      </c>
      <c r="H1018" s="310" t="s">
        <v>530</v>
      </c>
      <c r="I1018" s="312">
        <v>45652</v>
      </c>
      <c r="J1018" s="335" t="s">
        <v>531</v>
      </c>
      <c r="K1018" s="318" t="s">
        <v>137</v>
      </c>
      <c r="L1018" s="318" t="s">
        <v>5</v>
      </c>
      <c r="M1018" s="320">
        <v>5000000</v>
      </c>
      <c r="N1018" s="53">
        <v>723</v>
      </c>
      <c r="O1018" s="54">
        <f>M1018</f>
        <v>5000000</v>
      </c>
    </row>
    <row r="1019" spans="1:15" ht="12" customHeight="1" thickBot="1" x14ac:dyDescent="0.3">
      <c r="A1019" s="328"/>
      <c r="B1019" s="323"/>
      <c r="C1019" s="323"/>
      <c r="D1019" s="323"/>
      <c r="E1019" s="323"/>
      <c r="F1019" s="323"/>
      <c r="G1019" s="51" t="s">
        <v>62</v>
      </c>
      <c r="H1019" s="311"/>
      <c r="I1019" s="313"/>
      <c r="J1019" s="336"/>
      <c r="K1019" s="319"/>
      <c r="L1019" s="319"/>
      <c r="M1019" s="321"/>
      <c r="N1019" s="55">
        <v>721</v>
      </c>
      <c r="O1019" s="56">
        <v>0</v>
      </c>
    </row>
    <row r="1020" spans="1:15" ht="12.75" customHeight="1" x14ac:dyDescent="0.25">
      <c r="A1020" s="318" t="e">
        <f>+A981+1</f>
        <v>#REF!</v>
      </c>
      <c r="B1020" s="312">
        <v>42345</v>
      </c>
      <c r="C1020" s="314" t="s">
        <v>221</v>
      </c>
      <c r="D1020" s="318" t="s">
        <v>532</v>
      </c>
      <c r="E1020" s="318" t="s">
        <v>5</v>
      </c>
      <c r="F1020" s="320">
        <v>420000</v>
      </c>
      <c r="G1020" s="53">
        <v>719</v>
      </c>
      <c r="H1020" s="310" t="s">
        <v>533</v>
      </c>
      <c r="I1020" s="312">
        <v>45652</v>
      </c>
      <c r="J1020" s="335" t="s">
        <v>534</v>
      </c>
      <c r="K1020" s="318" t="s">
        <v>137</v>
      </c>
      <c r="L1020" s="318" t="s">
        <v>325</v>
      </c>
      <c r="M1020" s="320">
        <v>870000</v>
      </c>
      <c r="N1020" s="53">
        <v>719</v>
      </c>
      <c r="O1020" s="54">
        <v>0</v>
      </c>
    </row>
    <row r="1021" spans="1:15" ht="13.5" customHeight="1" thickBot="1" x14ac:dyDescent="0.3">
      <c r="A1021" s="319"/>
      <c r="B1021" s="313"/>
      <c r="C1021" s="315"/>
      <c r="D1021" s="319"/>
      <c r="E1021" s="319"/>
      <c r="F1021" s="321"/>
      <c r="G1021" s="55">
        <v>721</v>
      </c>
      <c r="H1021" s="311"/>
      <c r="I1021" s="313"/>
      <c r="J1021" s="336"/>
      <c r="K1021" s="319"/>
      <c r="L1021" s="319"/>
      <c r="M1021" s="321"/>
      <c r="N1021" s="55">
        <v>723</v>
      </c>
      <c r="O1021" s="56">
        <f>+M1020-O1020</f>
        <v>870000</v>
      </c>
    </row>
    <row r="1022" spans="1:15" ht="13.5" customHeight="1" x14ac:dyDescent="0.25">
      <c r="A1022" s="318" t="e">
        <f>+A1020+1</f>
        <v>#REF!</v>
      </c>
      <c r="B1022" s="312">
        <v>42345</v>
      </c>
      <c r="C1022" s="318" t="s">
        <v>70</v>
      </c>
      <c r="D1022" s="318" t="s">
        <v>535</v>
      </c>
      <c r="E1022" s="318" t="s">
        <v>5</v>
      </c>
      <c r="F1022" s="320">
        <v>714000</v>
      </c>
      <c r="G1022" s="53">
        <v>719</v>
      </c>
      <c r="H1022" s="310" t="s">
        <v>536</v>
      </c>
      <c r="I1022" s="312">
        <v>45652</v>
      </c>
      <c r="J1022" s="318" t="s">
        <v>537</v>
      </c>
      <c r="K1022" s="318" t="s">
        <v>137</v>
      </c>
      <c r="L1022" s="318" t="s">
        <v>127</v>
      </c>
      <c r="M1022" s="320">
        <v>1200000</v>
      </c>
      <c r="N1022" s="53">
        <v>719</v>
      </c>
      <c r="O1022" s="54">
        <v>0</v>
      </c>
    </row>
    <row r="1023" spans="1:15" ht="13.5" customHeight="1" thickBot="1" x14ac:dyDescent="0.3">
      <c r="A1023" s="319"/>
      <c r="B1023" s="313"/>
      <c r="C1023" s="319"/>
      <c r="D1023" s="319"/>
      <c r="E1023" s="319"/>
      <c r="F1023" s="321"/>
      <c r="G1023" s="55">
        <v>721</v>
      </c>
      <c r="H1023" s="311"/>
      <c r="I1023" s="313"/>
      <c r="J1023" s="319"/>
      <c r="K1023" s="319"/>
      <c r="L1023" s="319"/>
      <c r="M1023" s="321"/>
      <c r="N1023" s="55">
        <v>723</v>
      </c>
      <c r="O1023" s="56">
        <f>+M1022-O1022</f>
        <v>1200000</v>
      </c>
    </row>
    <row r="1024" spans="1:15" ht="13.5" customHeight="1" x14ac:dyDescent="0.25">
      <c r="A1024" s="318" t="e">
        <f>+A1022+1</f>
        <v>#REF!</v>
      </c>
      <c r="B1024" s="312">
        <v>42345</v>
      </c>
      <c r="C1024" s="314" t="s">
        <v>106</v>
      </c>
      <c r="D1024" s="318" t="s">
        <v>535</v>
      </c>
      <c r="E1024" s="318" t="s">
        <v>5</v>
      </c>
      <c r="F1024" s="320">
        <v>140000</v>
      </c>
      <c r="G1024" s="53">
        <v>719</v>
      </c>
      <c r="H1024" s="310" t="s">
        <v>538</v>
      </c>
      <c r="I1024" s="312">
        <v>45652</v>
      </c>
      <c r="J1024" s="318" t="s">
        <v>539</v>
      </c>
      <c r="K1024" s="318" t="s">
        <v>137</v>
      </c>
      <c r="L1024" s="318" t="s">
        <v>325</v>
      </c>
      <c r="M1024" s="320">
        <v>1008000</v>
      </c>
      <c r="N1024" s="53">
        <v>719</v>
      </c>
      <c r="O1024" s="54">
        <v>0</v>
      </c>
    </row>
    <row r="1025" spans="1:15" ht="12.75" customHeight="1" thickBot="1" x14ac:dyDescent="0.3">
      <c r="A1025" s="319"/>
      <c r="B1025" s="313"/>
      <c r="C1025" s="315"/>
      <c r="D1025" s="319"/>
      <c r="E1025" s="319"/>
      <c r="F1025" s="321"/>
      <c r="G1025" s="55">
        <v>721</v>
      </c>
      <c r="H1025" s="311"/>
      <c r="I1025" s="313"/>
      <c r="J1025" s="319"/>
      <c r="K1025" s="319"/>
      <c r="L1025" s="319"/>
      <c r="M1025" s="321"/>
      <c r="N1025" s="55">
        <v>723</v>
      </c>
      <c r="O1025" s="56">
        <f>+M1024-O1024</f>
        <v>1008000</v>
      </c>
    </row>
    <row r="1026" spans="1:15" ht="16.5" customHeight="1" thickBot="1" x14ac:dyDescent="0.3">
      <c r="A1026" s="318" t="e">
        <f>+#REF!+1</f>
        <v>#REF!</v>
      </c>
      <c r="B1026" s="312">
        <v>42345</v>
      </c>
      <c r="C1026" s="314" t="s">
        <v>297</v>
      </c>
      <c r="D1026" s="318" t="s">
        <v>540</v>
      </c>
      <c r="E1026" s="318" t="s">
        <v>5</v>
      </c>
      <c r="F1026" s="320">
        <v>2058000</v>
      </c>
      <c r="G1026" s="53">
        <v>719</v>
      </c>
      <c r="H1026" s="297" t="s">
        <v>80</v>
      </c>
      <c r="I1026" s="298"/>
      <c r="J1026" s="298"/>
      <c r="K1026" s="298"/>
      <c r="L1026" s="299"/>
      <c r="M1026" s="62">
        <f>SUM(M1018:M1025)</f>
        <v>8078000</v>
      </c>
    </row>
    <row r="1027" spans="1:15" ht="16.5" customHeight="1" thickBot="1" x14ac:dyDescent="0.3">
      <c r="A1027" s="319"/>
      <c r="B1027" s="313"/>
      <c r="C1027" s="315"/>
      <c r="D1027" s="319"/>
      <c r="E1027" s="319"/>
      <c r="F1027" s="321"/>
      <c r="G1027" s="55">
        <v>721</v>
      </c>
      <c r="H1027" s="300" t="s">
        <v>81</v>
      </c>
      <c r="I1027" s="301"/>
      <c r="J1027" s="301"/>
      <c r="K1027" s="301"/>
      <c r="L1027" s="302"/>
      <c r="M1027" s="63">
        <f>+M993</f>
        <v>359806486</v>
      </c>
      <c r="N1027" s="64" t="s">
        <v>82</v>
      </c>
      <c r="O1027" s="65"/>
    </row>
    <row r="1028" spans="1:15" ht="16.5" thickBot="1" x14ac:dyDescent="0.3">
      <c r="A1028" s="297" t="s">
        <v>80</v>
      </c>
      <c r="B1028" s="298"/>
      <c r="C1028" s="298"/>
      <c r="D1028" s="298"/>
      <c r="E1028" s="299"/>
      <c r="F1028" s="62">
        <f>SUM(F1020:F1027)</f>
        <v>3332000</v>
      </c>
      <c r="H1028" s="303" t="s">
        <v>83</v>
      </c>
      <c r="I1028" s="304"/>
      <c r="J1028" s="304"/>
      <c r="K1028" s="304"/>
      <c r="L1028" s="305"/>
      <c r="M1028" s="66">
        <f>SUM(M1026:M1027)</f>
        <v>367884486</v>
      </c>
    </row>
    <row r="1029" spans="1:15" ht="7.5" customHeight="1" thickBot="1" x14ac:dyDescent="0.3">
      <c r="A1029" s="300" t="s">
        <v>81</v>
      </c>
      <c r="B1029" s="301"/>
      <c r="C1029" s="301"/>
      <c r="D1029" s="301"/>
      <c r="E1029" s="302"/>
      <c r="F1029" s="63" t="e">
        <f>+F995</f>
        <v>#REF!</v>
      </c>
      <c r="H1029" s="67"/>
      <c r="I1029" s="67"/>
      <c r="J1029" s="67"/>
      <c r="K1029" s="67"/>
      <c r="L1029" s="67"/>
    </row>
    <row r="1030" spans="1:15" ht="16.5" thickBot="1" x14ac:dyDescent="0.3">
      <c r="A1030" s="303" t="s">
        <v>83</v>
      </c>
      <c r="B1030" s="304"/>
      <c r="C1030" s="304"/>
      <c r="D1030" s="304"/>
      <c r="E1030" s="305"/>
      <c r="F1030" s="66" t="e">
        <f>SUM(F1028:F1029)</f>
        <v>#REF!</v>
      </c>
      <c r="H1030" s="41" t="s">
        <v>541</v>
      </c>
    </row>
    <row r="1031" spans="1:15" ht="11.25" customHeight="1" x14ac:dyDescent="0.25">
      <c r="A1031" s="67"/>
      <c r="B1031" s="67"/>
      <c r="C1031" s="67"/>
      <c r="D1031" s="67"/>
      <c r="E1031" s="67"/>
      <c r="M1031" s="68"/>
    </row>
    <row r="1032" spans="1:15" ht="15.75" customHeight="1" x14ac:dyDescent="0.25">
      <c r="A1032" s="41" t="s">
        <v>542</v>
      </c>
      <c r="H1032" s="40" t="s">
        <v>86</v>
      </c>
      <c r="K1032" s="69"/>
      <c r="M1032" s="68"/>
    </row>
    <row r="1033" spans="1:15" ht="17.25" customHeight="1" thickBot="1" x14ac:dyDescent="0.3">
      <c r="F1033" s="68"/>
    </row>
    <row r="1034" spans="1:15" ht="16.5" customHeight="1" thickBot="1" x14ac:dyDescent="0.35">
      <c r="A1034" s="40" t="s">
        <v>86</v>
      </c>
      <c r="D1034" s="69"/>
      <c r="F1034" s="68"/>
      <c r="H1034" s="306" t="s">
        <v>87</v>
      </c>
      <c r="I1034" s="307"/>
      <c r="J1034" s="307"/>
      <c r="K1034" s="308"/>
      <c r="M1034" s="13" t="s">
        <v>89</v>
      </c>
    </row>
    <row r="1035" spans="1:15" ht="11.25" customHeight="1" thickBot="1" x14ac:dyDescent="0.3">
      <c r="H1035" s="70" t="s">
        <v>62</v>
      </c>
      <c r="I1035" s="71" t="s">
        <v>90</v>
      </c>
      <c r="J1035" s="72" t="s">
        <v>91</v>
      </c>
      <c r="K1035" s="73" t="s">
        <v>92</v>
      </c>
    </row>
    <row r="1036" spans="1:15" ht="14.25" customHeight="1" thickBot="1" x14ac:dyDescent="0.3">
      <c r="A1036" s="306" t="s">
        <v>87</v>
      </c>
      <c r="B1036" s="307"/>
      <c r="C1036" s="307"/>
      <c r="D1036" s="308"/>
      <c r="F1036" s="40" t="s">
        <v>89</v>
      </c>
      <c r="H1036" s="75">
        <v>719</v>
      </c>
      <c r="I1036" s="76"/>
      <c r="J1036" s="77">
        <f>+K1001</f>
        <v>64576000</v>
      </c>
      <c r="K1036" s="79">
        <f>+I1036+J1036</f>
        <v>64576000</v>
      </c>
    </row>
    <row r="1037" spans="1:15" ht="14.25" customHeight="1" thickBot="1" x14ac:dyDescent="0.3">
      <c r="A1037" s="70" t="s">
        <v>62</v>
      </c>
      <c r="B1037" s="71" t="s">
        <v>90</v>
      </c>
      <c r="C1037" s="72" t="s">
        <v>91</v>
      </c>
      <c r="D1037" s="73" t="s">
        <v>92</v>
      </c>
      <c r="H1037" s="80">
        <v>721</v>
      </c>
      <c r="I1037" s="81"/>
      <c r="J1037" s="77">
        <f>+K1002</f>
        <v>12301000</v>
      </c>
      <c r="K1037" s="79">
        <f>+I1037+J1037</f>
        <v>12301000</v>
      </c>
    </row>
    <row r="1038" spans="1:15" ht="12.75" customHeight="1" x14ac:dyDescent="0.25">
      <c r="A1038" s="75">
        <v>719</v>
      </c>
      <c r="B1038" s="76" t="e">
        <f>+#REF!+#REF!+#REF!+#REF!+#REF!</f>
        <v>#REF!</v>
      </c>
      <c r="C1038" s="77" t="e">
        <f>+D1003</f>
        <v>#REF!</v>
      </c>
      <c r="D1038" s="79" t="e">
        <f>+B1038+C1038</f>
        <v>#REF!</v>
      </c>
      <c r="H1038" s="80">
        <v>722</v>
      </c>
      <c r="I1038" s="81"/>
      <c r="J1038" s="77">
        <f>+K1003</f>
        <v>0</v>
      </c>
      <c r="K1038" s="79">
        <f>+I1038+J1038</f>
        <v>0</v>
      </c>
    </row>
    <row r="1039" spans="1:15" ht="16.5" thickBot="1" x14ac:dyDescent="0.3">
      <c r="A1039" s="80">
        <v>721</v>
      </c>
      <c r="B1039" s="81" t="e">
        <f>+#REF!+#REF!+#REF!+#REF!+#REF!</f>
        <v>#REF!</v>
      </c>
      <c r="C1039" s="77" t="e">
        <f>+D1004</f>
        <v>#REF!</v>
      </c>
      <c r="D1039" s="79" t="e">
        <f>+B1039+C1039</f>
        <v>#REF!</v>
      </c>
      <c r="H1039" s="80">
        <v>723</v>
      </c>
      <c r="I1039" s="81">
        <f>+O1018+O1021+O1023+O1025</f>
        <v>8078000</v>
      </c>
      <c r="J1039" s="77">
        <f>+K1004</f>
        <v>282929486</v>
      </c>
      <c r="K1039" s="79">
        <f>+I1039+J1039</f>
        <v>291007486</v>
      </c>
      <c r="M1039" s="343"/>
      <c r="N1039" s="343"/>
      <c r="O1039" s="343"/>
    </row>
    <row r="1040" spans="1:15" ht="16.5" hidden="1" thickBot="1" x14ac:dyDescent="0.3">
      <c r="A1040" s="80">
        <v>722</v>
      </c>
      <c r="B1040" s="81"/>
      <c r="C1040" s="77" t="e">
        <f>+D1005</f>
        <v>#REF!</v>
      </c>
      <c r="D1040" s="79" t="e">
        <f>+B1040+C1040</f>
        <v>#REF!</v>
      </c>
      <c r="H1040" s="85" t="s">
        <v>94</v>
      </c>
      <c r="I1040" s="86"/>
      <c r="J1040" s="77" t="e">
        <f>+K1005</f>
        <v>#REF!</v>
      </c>
      <c r="K1040" s="89" t="e">
        <f>+I1040+J1040</f>
        <v>#REF!</v>
      </c>
      <c r="M1040" s="45"/>
    </row>
    <row r="1041" spans="1:15" ht="16.5" thickBot="1" x14ac:dyDescent="0.3">
      <c r="A1041" s="80">
        <v>723</v>
      </c>
      <c r="B1041" s="81"/>
      <c r="C1041" s="77" t="e">
        <f>+D1006</f>
        <v>#REF!</v>
      </c>
      <c r="D1041" s="79" t="e">
        <f>+B1041+C1041</f>
        <v>#REF!</v>
      </c>
      <c r="F1041" s="83" t="s">
        <v>93</v>
      </c>
      <c r="G1041" s="84"/>
      <c r="H1041" s="90"/>
      <c r="I1041" s="94">
        <f>SUM(I1036:I1040)</f>
        <v>8078000</v>
      </c>
      <c r="J1041" s="94" t="e">
        <f>SUM(J1036:J1040)</f>
        <v>#REF!</v>
      </c>
      <c r="K1041" s="95" t="e">
        <f>SUM(K1036:K1040)</f>
        <v>#REF!</v>
      </c>
    </row>
    <row r="1042" spans="1:15" ht="16.5" x14ac:dyDescent="0.25">
      <c r="A1042" s="39" t="s">
        <v>46</v>
      </c>
      <c r="B1042" s="40"/>
      <c r="H1042" s="39" t="s">
        <v>46</v>
      </c>
      <c r="I1042" s="40"/>
    </row>
    <row r="1043" spans="1:15" ht="14.25" customHeight="1" x14ac:dyDescent="0.25">
      <c r="A1043" s="41" t="s">
        <v>47</v>
      </c>
      <c r="H1043" s="41" t="s">
        <v>47</v>
      </c>
    </row>
    <row r="1044" spans="1:15" x14ac:dyDescent="0.25">
      <c r="A1044" s="41" t="s">
        <v>48</v>
      </c>
      <c r="H1044" s="41" t="s">
        <v>48</v>
      </c>
    </row>
    <row r="1045" spans="1:15" ht="12.75" customHeight="1" x14ac:dyDescent="0.25">
      <c r="A1045" s="41" t="s">
        <v>49</v>
      </c>
      <c r="H1045" s="41" t="s">
        <v>49</v>
      </c>
    </row>
    <row r="1046" spans="1:15" ht="4.5" customHeight="1" x14ac:dyDescent="0.25">
      <c r="A1046" s="40"/>
      <c r="B1046" s="40"/>
      <c r="H1046" s="40"/>
      <c r="I1046" s="40"/>
    </row>
    <row r="1047" spans="1:15" ht="16.5" x14ac:dyDescent="0.25">
      <c r="A1047" s="45" t="s">
        <v>543</v>
      </c>
      <c r="G1047" s="45"/>
      <c r="H1047" s="188" t="s">
        <v>544</v>
      </c>
      <c r="N1047" s="45"/>
    </row>
    <row r="1048" spans="1:15" ht="15.75" x14ac:dyDescent="0.25">
      <c r="A1048" s="47" t="s">
        <v>52</v>
      </c>
      <c r="G1048" s="47"/>
      <c r="H1048" s="47" t="s">
        <v>97</v>
      </c>
      <c r="N1048" s="47"/>
    </row>
    <row r="1049" spans="1:15" ht="15" customHeight="1" x14ac:dyDescent="0.25">
      <c r="A1049" s="326" t="s">
        <v>500</v>
      </c>
      <c r="B1049" s="326"/>
      <c r="C1049" s="326"/>
      <c r="D1049" s="326"/>
      <c r="E1049" s="326"/>
      <c r="F1049" s="326"/>
      <c r="G1049" s="326"/>
      <c r="H1049" s="326" t="s">
        <v>545</v>
      </c>
      <c r="I1049" s="326"/>
      <c r="J1049" s="326"/>
      <c r="K1049" s="326"/>
      <c r="L1049" s="326"/>
      <c r="M1049" s="326"/>
      <c r="N1049" s="326"/>
      <c r="O1049" s="326"/>
    </row>
    <row r="1050" spans="1:15" ht="6" customHeight="1" thickBot="1" x14ac:dyDescent="0.3"/>
    <row r="1051" spans="1:15" x14ac:dyDescent="0.25">
      <c r="A1051" s="327" t="s">
        <v>56</v>
      </c>
      <c r="B1051" s="322" t="s">
        <v>57</v>
      </c>
      <c r="C1051" s="322" t="s">
        <v>58</v>
      </c>
      <c r="D1051" s="322" t="s">
        <v>7</v>
      </c>
      <c r="E1051" s="322" t="s">
        <v>59</v>
      </c>
      <c r="F1051" s="322" t="s">
        <v>60</v>
      </c>
      <c r="G1051" s="50" t="s">
        <v>61</v>
      </c>
      <c r="H1051" s="327" t="s">
        <v>56</v>
      </c>
      <c r="I1051" s="322" t="s">
        <v>57</v>
      </c>
      <c r="J1051" s="322" t="s">
        <v>58</v>
      </c>
      <c r="K1051" s="322" t="s">
        <v>7</v>
      </c>
      <c r="L1051" s="322" t="s">
        <v>59</v>
      </c>
      <c r="M1051" s="322" t="s">
        <v>60</v>
      </c>
      <c r="N1051" s="322" t="s">
        <v>61</v>
      </c>
      <c r="O1051" s="324"/>
    </row>
    <row r="1052" spans="1:15" ht="15.75" thickBot="1" x14ac:dyDescent="0.3">
      <c r="A1052" s="328"/>
      <c r="B1052" s="323"/>
      <c r="C1052" s="323"/>
      <c r="D1052" s="323"/>
      <c r="E1052" s="323"/>
      <c r="F1052" s="323"/>
      <c r="G1052" s="51" t="s">
        <v>62</v>
      </c>
      <c r="H1052" s="328"/>
      <c r="I1052" s="323"/>
      <c r="J1052" s="323"/>
      <c r="K1052" s="323"/>
      <c r="L1052" s="323"/>
      <c r="M1052" s="323"/>
      <c r="N1052" s="51" t="s">
        <v>62</v>
      </c>
      <c r="O1052" s="52" t="s">
        <v>63</v>
      </c>
    </row>
    <row r="1053" spans="1:15" ht="13.5" customHeight="1" x14ac:dyDescent="0.25">
      <c r="A1053" s="318" t="e">
        <f>+A1026+1</f>
        <v>#REF!</v>
      </c>
      <c r="B1053" s="312">
        <v>42345</v>
      </c>
      <c r="C1053" s="314" t="s">
        <v>64</v>
      </c>
      <c r="D1053" s="318" t="s">
        <v>546</v>
      </c>
      <c r="E1053" s="318" t="s">
        <v>66</v>
      </c>
      <c r="F1053" s="320">
        <v>110000</v>
      </c>
      <c r="G1053" s="53">
        <v>719</v>
      </c>
      <c r="H1053" s="310" t="s">
        <v>333</v>
      </c>
      <c r="I1053" s="312">
        <v>45721</v>
      </c>
      <c r="J1053" s="314" t="s">
        <v>251</v>
      </c>
      <c r="K1053" s="318" t="s">
        <v>547</v>
      </c>
      <c r="L1053" s="318" t="s">
        <v>66</v>
      </c>
      <c r="M1053" s="320">
        <v>1269000</v>
      </c>
      <c r="N1053" s="53">
        <v>719</v>
      </c>
      <c r="O1053" s="54">
        <v>940000</v>
      </c>
    </row>
    <row r="1054" spans="1:15" ht="12" customHeight="1" thickBot="1" x14ac:dyDescent="0.3">
      <c r="A1054" s="319"/>
      <c r="B1054" s="313"/>
      <c r="C1054" s="315"/>
      <c r="D1054" s="319"/>
      <c r="E1054" s="319"/>
      <c r="F1054" s="321"/>
      <c r="G1054" s="55">
        <v>721</v>
      </c>
      <c r="H1054" s="311"/>
      <c r="I1054" s="313"/>
      <c r="J1054" s="315"/>
      <c r="K1054" s="319"/>
      <c r="L1054" s="319"/>
      <c r="M1054" s="321"/>
      <c r="N1054" s="55">
        <v>721</v>
      </c>
      <c r="O1054" s="56">
        <f>+M1053-O1053</f>
        <v>329000</v>
      </c>
    </row>
    <row r="1055" spans="1:15" ht="12.75" customHeight="1" x14ac:dyDescent="0.25">
      <c r="A1055" s="318" t="e">
        <f>+A1053+1</f>
        <v>#REF!</v>
      </c>
      <c r="B1055" s="312">
        <v>42345</v>
      </c>
      <c r="C1055" s="318" t="s">
        <v>548</v>
      </c>
      <c r="D1055" s="318" t="s">
        <v>549</v>
      </c>
      <c r="E1055" s="318" t="s">
        <v>66</v>
      </c>
      <c r="F1055" s="320">
        <v>60000</v>
      </c>
      <c r="G1055" s="53">
        <v>719</v>
      </c>
      <c r="H1055" s="310" t="s">
        <v>550</v>
      </c>
      <c r="I1055" s="312">
        <v>45721</v>
      </c>
      <c r="J1055" s="314" t="s">
        <v>251</v>
      </c>
      <c r="K1055" s="318" t="s">
        <v>551</v>
      </c>
      <c r="L1055" s="318" t="s">
        <v>283</v>
      </c>
      <c r="M1055" s="320">
        <v>420000</v>
      </c>
      <c r="N1055" s="53">
        <v>719</v>
      </c>
      <c r="O1055" s="54">
        <v>420000</v>
      </c>
    </row>
    <row r="1056" spans="1:15" ht="13.5" customHeight="1" thickBot="1" x14ac:dyDescent="0.3">
      <c r="A1056" s="319"/>
      <c r="B1056" s="313"/>
      <c r="C1056" s="319"/>
      <c r="D1056" s="319"/>
      <c r="E1056" s="319"/>
      <c r="F1056" s="321"/>
      <c r="G1056" s="55">
        <v>721</v>
      </c>
      <c r="H1056" s="311"/>
      <c r="I1056" s="313"/>
      <c r="J1056" s="315"/>
      <c r="K1056" s="319"/>
      <c r="L1056" s="319"/>
      <c r="M1056" s="321"/>
      <c r="N1056" s="55">
        <v>723</v>
      </c>
      <c r="O1056" s="56">
        <f>+M1055-O1055</f>
        <v>0</v>
      </c>
    </row>
    <row r="1057" spans="1:15" ht="15.75" customHeight="1" x14ac:dyDescent="0.25">
      <c r="A1057" s="57"/>
      <c r="B1057" s="58"/>
      <c r="C1057" s="57"/>
      <c r="D1057" s="57"/>
      <c r="E1057" s="57"/>
      <c r="F1057" s="60"/>
      <c r="G1057" s="61"/>
      <c r="H1057" s="310" t="s">
        <v>552</v>
      </c>
      <c r="I1057" s="312">
        <v>45721</v>
      </c>
      <c r="J1057" s="314" t="s">
        <v>68</v>
      </c>
      <c r="K1057" s="318" t="s">
        <v>553</v>
      </c>
      <c r="L1057" s="318" t="s">
        <v>5</v>
      </c>
      <c r="M1057" s="320">
        <v>500000</v>
      </c>
      <c r="N1057" s="53">
        <v>719</v>
      </c>
      <c r="O1057" s="54">
        <v>500000</v>
      </c>
    </row>
    <row r="1058" spans="1:15" ht="12" customHeight="1" thickBot="1" x14ac:dyDescent="0.3">
      <c r="A1058" s="57"/>
      <c r="B1058" s="58"/>
      <c r="C1058" s="57"/>
      <c r="D1058" s="57"/>
      <c r="E1058" s="57"/>
      <c r="F1058" s="60"/>
      <c r="G1058" s="61"/>
      <c r="H1058" s="311"/>
      <c r="I1058" s="313"/>
      <c r="J1058" s="315"/>
      <c r="K1058" s="319"/>
      <c r="L1058" s="319"/>
      <c r="M1058" s="321"/>
      <c r="N1058" s="55">
        <v>721</v>
      </c>
      <c r="O1058" s="56">
        <f>+M1057-O1057</f>
        <v>0</v>
      </c>
    </row>
    <row r="1059" spans="1:15" ht="15" customHeight="1" x14ac:dyDescent="0.25">
      <c r="A1059" s="318"/>
      <c r="B1059" s="312"/>
      <c r="C1059" s="314"/>
      <c r="D1059" s="318"/>
      <c r="E1059" s="318"/>
      <c r="F1059" s="320"/>
      <c r="G1059" s="53">
        <v>719</v>
      </c>
      <c r="H1059" s="310" t="s">
        <v>554</v>
      </c>
      <c r="I1059" s="312">
        <v>45721</v>
      </c>
      <c r="J1059" s="314" t="s">
        <v>68</v>
      </c>
      <c r="K1059" s="318" t="s">
        <v>555</v>
      </c>
      <c r="L1059" s="318" t="s">
        <v>5</v>
      </c>
      <c r="M1059" s="320">
        <v>500000</v>
      </c>
      <c r="N1059" s="53">
        <v>719</v>
      </c>
      <c r="O1059" s="54">
        <v>500000</v>
      </c>
    </row>
    <row r="1060" spans="1:15" ht="12.75" customHeight="1" thickBot="1" x14ac:dyDescent="0.3">
      <c r="A1060" s="319"/>
      <c r="B1060" s="313"/>
      <c r="C1060" s="315"/>
      <c r="D1060" s="319"/>
      <c r="E1060" s="319"/>
      <c r="F1060" s="321"/>
      <c r="G1060" s="55">
        <v>721</v>
      </c>
      <c r="H1060" s="311"/>
      <c r="I1060" s="313"/>
      <c r="J1060" s="315"/>
      <c r="K1060" s="319"/>
      <c r="L1060" s="319"/>
      <c r="M1060" s="321"/>
      <c r="N1060" s="55">
        <v>723</v>
      </c>
      <c r="O1060" s="56">
        <f>+M1059-O1059</f>
        <v>0</v>
      </c>
    </row>
    <row r="1061" spans="1:15" ht="13.5" customHeight="1" x14ac:dyDescent="0.25">
      <c r="A1061" s="318"/>
      <c r="B1061" s="312"/>
      <c r="C1061" s="314"/>
      <c r="D1061" s="318"/>
      <c r="E1061" s="318"/>
      <c r="F1061" s="320"/>
      <c r="G1061" s="53">
        <v>719</v>
      </c>
      <c r="H1061" s="310" t="s">
        <v>435</v>
      </c>
      <c r="I1061" s="312">
        <v>45721</v>
      </c>
      <c r="J1061" s="314" t="s">
        <v>136</v>
      </c>
      <c r="K1061" s="318" t="s">
        <v>551</v>
      </c>
      <c r="L1061" s="318" t="s">
        <v>66</v>
      </c>
      <c r="M1061" s="320">
        <v>715500</v>
      </c>
      <c r="N1061" s="53">
        <v>719</v>
      </c>
      <c r="O1061" s="54">
        <v>530000</v>
      </c>
    </row>
    <row r="1062" spans="1:15" ht="13.5" customHeight="1" thickBot="1" x14ac:dyDescent="0.3">
      <c r="A1062" s="319"/>
      <c r="B1062" s="313"/>
      <c r="C1062" s="315"/>
      <c r="D1062" s="319"/>
      <c r="E1062" s="319"/>
      <c r="F1062" s="321"/>
      <c r="G1062" s="55">
        <v>721</v>
      </c>
      <c r="H1062" s="311"/>
      <c r="I1062" s="313"/>
      <c r="J1062" s="315"/>
      <c r="K1062" s="319"/>
      <c r="L1062" s="319"/>
      <c r="M1062" s="321"/>
      <c r="N1062" s="55">
        <v>721</v>
      </c>
      <c r="O1062" s="56">
        <f>+M1061-O1061</f>
        <v>185500</v>
      </c>
    </row>
    <row r="1063" spans="1:15" ht="16.5" thickBot="1" x14ac:dyDescent="0.3">
      <c r="A1063" s="297" t="s">
        <v>80</v>
      </c>
      <c r="B1063" s="298"/>
      <c r="C1063" s="298"/>
      <c r="D1063" s="298"/>
      <c r="E1063" s="299"/>
      <c r="F1063" s="62">
        <f>SUM(F1053:F1062)</f>
        <v>170000</v>
      </c>
      <c r="H1063" s="297" t="s">
        <v>80</v>
      </c>
      <c r="I1063" s="298"/>
      <c r="J1063" s="298"/>
      <c r="K1063" s="298"/>
      <c r="L1063" s="299"/>
      <c r="M1063" s="62">
        <f>SUM(M1053:M1062)</f>
        <v>3404500</v>
      </c>
    </row>
    <row r="1064" spans="1:15" ht="16.5" thickBot="1" x14ac:dyDescent="0.3">
      <c r="A1064" s="300" t="s">
        <v>81</v>
      </c>
      <c r="B1064" s="301"/>
      <c r="C1064" s="301"/>
      <c r="D1064" s="301"/>
      <c r="E1064" s="302"/>
      <c r="F1064" s="63" t="e">
        <f>+F1030</f>
        <v>#REF!</v>
      </c>
      <c r="H1064" s="300" t="s">
        <v>81</v>
      </c>
      <c r="I1064" s="301"/>
      <c r="J1064" s="301"/>
      <c r="K1064" s="301"/>
      <c r="L1064" s="302"/>
      <c r="M1064" s="63">
        <v>0</v>
      </c>
      <c r="N1064" s="64" t="s">
        <v>82</v>
      </c>
      <c r="O1064" s="65"/>
    </row>
    <row r="1065" spans="1:15" ht="16.5" thickBot="1" x14ac:dyDescent="0.3">
      <c r="A1065" s="303" t="s">
        <v>83</v>
      </c>
      <c r="B1065" s="304"/>
      <c r="C1065" s="304"/>
      <c r="D1065" s="304"/>
      <c r="E1065" s="305"/>
      <c r="F1065" s="66" t="e">
        <f>SUM(F1063:F1064)</f>
        <v>#REF!</v>
      </c>
      <c r="H1065" s="303" t="s">
        <v>83</v>
      </c>
      <c r="I1065" s="304"/>
      <c r="J1065" s="304"/>
      <c r="K1065" s="304"/>
      <c r="L1065" s="305"/>
      <c r="M1065" s="66">
        <f>SUM(M1063:M1064)</f>
        <v>3404500</v>
      </c>
    </row>
    <row r="1066" spans="1:15" ht="6.75" customHeight="1" x14ac:dyDescent="0.25">
      <c r="A1066" s="67"/>
      <c r="B1066" s="67"/>
      <c r="C1066" s="67"/>
      <c r="D1066" s="67"/>
      <c r="E1066" s="67"/>
      <c r="H1066" s="67"/>
      <c r="I1066" s="67"/>
      <c r="J1066" s="67"/>
      <c r="K1066" s="67"/>
      <c r="L1066" s="67"/>
    </row>
    <row r="1067" spans="1:15" x14ac:dyDescent="0.25">
      <c r="A1067" s="41" t="s">
        <v>556</v>
      </c>
      <c r="H1067" s="41" t="s">
        <v>557</v>
      </c>
    </row>
    <row r="1068" spans="1:15" ht="4.5" customHeight="1" x14ac:dyDescent="0.25">
      <c r="F1068" s="68"/>
      <c r="M1068" s="68"/>
    </row>
    <row r="1069" spans="1:15" ht="15" customHeight="1" x14ac:dyDescent="0.25">
      <c r="A1069" s="40" t="s">
        <v>86</v>
      </c>
      <c r="D1069" s="69"/>
      <c r="F1069" s="68"/>
      <c r="H1069" s="40" t="s">
        <v>86</v>
      </c>
      <c r="K1069" s="69"/>
      <c r="M1069" s="68"/>
    </row>
    <row r="1070" spans="1:15" ht="5.25" customHeight="1" thickBot="1" x14ac:dyDescent="0.3"/>
    <row r="1071" spans="1:15" ht="15.75" thickBot="1" x14ac:dyDescent="0.3">
      <c r="A1071" s="306" t="s">
        <v>87</v>
      </c>
      <c r="B1071" s="307"/>
      <c r="C1071" s="307"/>
      <c r="D1071" s="308"/>
      <c r="F1071" s="40" t="s">
        <v>89</v>
      </c>
      <c r="H1071" s="306" t="s">
        <v>87</v>
      </c>
      <c r="I1071" s="307"/>
      <c r="J1071" s="307"/>
      <c r="K1071" s="308"/>
      <c r="M1071" s="40" t="s">
        <v>89</v>
      </c>
    </row>
    <row r="1072" spans="1:15" ht="43.5" customHeight="1" thickBot="1" x14ac:dyDescent="0.3">
      <c r="A1072" s="70" t="s">
        <v>62</v>
      </c>
      <c r="B1072" s="71" t="s">
        <v>90</v>
      </c>
      <c r="C1072" s="72" t="s">
        <v>91</v>
      </c>
      <c r="D1072" s="73" t="s">
        <v>92</v>
      </c>
      <c r="H1072" s="70" t="s">
        <v>62</v>
      </c>
      <c r="I1072" s="71" t="s">
        <v>90</v>
      </c>
      <c r="J1072" s="72" t="s">
        <v>91</v>
      </c>
      <c r="K1072" s="73" t="s">
        <v>92</v>
      </c>
    </row>
    <row r="1073" spans="1:15" ht="13.5" customHeight="1" x14ac:dyDescent="0.25">
      <c r="A1073" s="75">
        <v>719</v>
      </c>
      <c r="B1073" s="76" t="e">
        <f>+#REF!+#REF!+#REF!+#REF!</f>
        <v>#REF!</v>
      </c>
      <c r="C1073" s="77" t="e">
        <f>+D1038</f>
        <v>#REF!</v>
      </c>
      <c r="D1073" s="79" t="e">
        <f>+B1073+C1073</f>
        <v>#REF!</v>
      </c>
      <c r="H1073" s="75">
        <v>719</v>
      </c>
      <c r="I1073" s="76">
        <f>+O1053+O1055+O1057+O1059+O1061</f>
        <v>2890000</v>
      </c>
      <c r="J1073" s="77">
        <v>0</v>
      </c>
      <c r="K1073" s="79">
        <f>+I1073+J1073</f>
        <v>2890000</v>
      </c>
    </row>
    <row r="1074" spans="1:15" ht="13.5" customHeight="1" x14ac:dyDescent="0.25">
      <c r="A1074" s="80">
        <v>721</v>
      </c>
      <c r="B1074" s="81" t="e">
        <f>+#REF!</f>
        <v>#REF!</v>
      </c>
      <c r="C1074" s="77" t="e">
        <f>+D1039</f>
        <v>#REF!</v>
      </c>
      <c r="D1074" s="79" t="e">
        <f>+B1074+C1074</f>
        <v>#REF!</v>
      </c>
      <c r="H1074" s="80">
        <v>721</v>
      </c>
      <c r="I1074" s="81">
        <f>+O1054+O1056+O1058+O1060+O1062</f>
        <v>514500</v>
      </c>
      <c r="J1074" s="77">
        <v>0</v>
      </c>
      <c r="K1074" s="79">
        <f>+I1074+J1074</f>
        <v>514500</v>
      </c>
    </row>
    <row r="1075" spans="1:15" hidden="1" x14ac:dyDescent="0.25">
      <c r="A1075" s="80">
        <v>722</v>
      </c>
      <c r="B1075" s="81"/>
      <c r="C1075" s="77" t="e">
        <f>+D1040</f>
        <v>#REF!</v>
      </c>
      <c r="D1075" s="79" t="e">
        <f>+B1075+C1075</f>
        <v>#REF!</v>
      </c>
      <c r="H1075" s="80">
        <v>722</v>
      </c>
      <c r="I1075" s="81"/>
      <c r="J1075" s="77">
        <f>+K1038</f>
        <v>0</v>
      </c>
      <c r="K1075" s="79">
        <f>+I1075+J1075</f>
        <v>0</v>
      </c>
    </row>
    <row r="1076" spans="1:15" ht="14.25" customHeight="1" thickBot="1" x14ac:dyDescent="0.3">
      <c r="A1076" s="80">
        <v>723</v>
      </c>
      <c r="B1076" s="81"/>
      <c r="C1076" s="77" t="e">
        <f>+D1041</f>
        <v>#REF!</v>
      </c>
      <c r="D1076" s="79" t="e">
        <f>+B1076+C1076</f>
        <v>#REF!</v>
      </c>
      <c r="F1076" s="83" t="s">
        <v>93</v>
      </c>
      <c r="G1076" s="84"/>
      <c r="H1076" s="80">
        <v>723</v>
      </c>
      <c r="I1076" s="81"/>
      <c r="J1076" s="77">
        <v>0</v>
      </c>
      <c r="K1076" s="79">
        <f>+I1076+J1076</f>
        <v>0</v>
      </c>
      <c r="M1076" s="343"/>
      <c r="N1076" s="343"/>
      <c r="O1076" s="343"/>
    </row>
    <row r="1077" spans="1:15" ht="13.5" hidden="1" customHeight="1" x14ac:dyDescent="0.25">
      <c r="A1077" s="85" t="s">
        <v>94</v>
      </c>
      <c r="B1077" s="86"/>
      <c r="C1077" s="77" t="e">
        <f>+#REF!</f>
        <v>#REF!</v>
      </c>
      <c r="D1077" s="89" t="e">
        <f>+B1077+C1077</f>
        <v>#REF!</v>
      </c>
      <c r="F1077" s="45"/>
      <c r="H1077" s="85" t="s">
        <v>94</v>
      </c>
      <c r="I1077" s="86"/>
      <c r="J1077" s="77" t="e">
        <f>+K1040</f>
        <v>#REF!</v>
      </c>
      <c r="K1077" s="89" t="e">
        <f>+I1077+J1077</f>
        <v>#REF!</v>
      </c>
      <c r="M1077" s="45"/>
    </row>
    <row r="1078" spans="1:15" ht="16.5" thickBot="1" x14ac:dyDescent="0.3">
      <c r="A1078" s="90"/>
      <c r="B1078" s="91" t="e">
        <f>SUM(B1073:B1077)</f>
        <v>#REF!</v>
      </c>
      <c r="C1078" s="92" t="e">
        <f>SUM(C1073:C1077)</f>
        <v>#REF!</v>
      </c>
      <c r="D1078" s="93" t="e">
        <f>SUM(D1073:D1077)</f>
        <v>#REF!</v>
      </c>
      <c r="H1078" s="90"/>
      <c r="I1078" s="94">
        <f>SUM(I1073:I1077)</f>
        <v>3404500</v>
      </c>
      <c r="J1078" s="94" t="e">
        <f>SUM(J1073:J1077)</f>
        <v>#REF!</v>
      </c>
      <c r="K1078" s="95" t="e">
        <f>SUM(K1073:K1077)</f>
        <v>#REF!</v>
      </c>
    </row>
    <row r="1079" spans="1:15" ht="16.5" x14ac:dyDescent="0.25">
      <c r="A1079" s="39" t="s">
        <v>46</v>
      </c>
      <c r="B1079" s="40"/>
      <c r="H1079" s="39" t="s">
        <v>46</v>
      </c>
      <c r="I1079" s="40"/>
    </row>
    <row r="1080" spans="1:15" x14ac:dyDescent="0.25">
      <c r="A1080" s="41" t="s">
        <v>47</v>
      </c>
      <c r="H1080" s="41" t="s">
        <v>47</v>
      </c>
    </row>
    <row r="1081" spans="1:15" x14ac:dyDescent="0.25">
      <c r="A1081" s="41" t="s">
        <v>48</v>
      </c>
      <c r="H1081" s="41" t="s">
        <v>48</v>
      </c>
    </row>
    <row r="1082" spans="1:15" x14ac:dyDescent="0.25">
      <c r="A1082" s="41" t="s">
        <v>49</v>
      </c>
      <c r="H1082" s="41" t="s">
        <v>49</v>
      </c>
    </row>
    <row r="1083" spans="1:15" ht="4.5" customHeight="1" x14ac:dyDescent="0.25">
      <c r="A1083" s="40"/>
      <c r="B1083" s="40"/>
      <c r="H1083" s="40"/>
      <c r="I1083" s="40"/>
    </row>
    <row r="1084" spans="1:15" ht="16.5" x14ac:dyDescent="0.25">
      <c r="A1084" s="45" t="s">
        <v>558</v>
      </c>
      <c r="G1084" s="45"/>
      <c r="H1084" s="188" t="s">
        <v>559</v>
      </c>
      <c r="N1084" s="45"/>
    </row>
    <row r="1085" spans="1:15" ht="15.75" x14ac:dyDescent="0.25">
      <c r="A1085" s="47" t="s">
        <v>52</v>
      </c>
      <c r="G1085" s="47"/>
      <c r="H1085" s="47" t="s">
        <v>97</v>
      </c>
      <c r="N1085" s="47"/>
    </row>
    <row r="1086" spans="1:15" ht="16.5" x14ac:dyDescent="0.25">
      <c r="A1086" s="326" t="s">
        <v>500</v>
      </c>
      <c r="B1086" s="326"/>
      <c r="C1086" s="326"/>
      <c r="D1086" s="326"/>
      <c r="E1086" s="326"/>
      <c r="F1086" s="326"/>
      <c r="G1086" s="326"/>
      <c r="H1086" s="326" t="s">
        <v>201</v>
      </c>
      <c r="I1086" s="326"/>
      <c r="J1086" s="326"/>
      <c r="K1086" s="326"/>
      <c r="L1086" s="326"/>
      <c r="M1086" s="326"/>
      <c r="N1086" s="326"/>
      <c r="O1086" s="326"/>
    </row>
    <row r="1087" spans="1:15" ht="6.75" customHeight="1" thickBot="1" x14ac:dyDescent="0.3"/>
    <row r="1088" spans="1:15" x14ac:dyDescent="0.25">
      <c r="A1088" s="327" t="s">
        <v>56</v>
      </c>
      <c r="B1088" s="322" t="s">
        <v>57</v>
      </c>
      <c r="C1088" s="322" t="s">
        <v>58</v>
      </c>
      <c r="D1088" s="322" t="s">
        <v>7</v>
      </c>
      <c r="E1088" s="322" t="s">
        <v>59</v>
      </c>
      <c r="F1088" s="322" t="s">
        <v>60</v>
      </c>
      <c r="G1088" s="50" t="s">
        <v>61</v>
      </c>
      <c r="H1088" s="327" t="s">
        <v>56</v>
      </c>
      <c r="I1088" s="322" t="s">
        <v>57</v>
      </c>
      <c r="J1088" s="322" t="s">
        <v>58</v>
      </c>
      <c r="K1088" s="322" t="s">
        <v>7</v>
      </c>
      <c r="L1088" s="322" t="s">
        <v>59</v>
      </c>
      <c r="M1088" s="322" t="s">
        <v>60</v>
      </c>
      <c r="N1088" s="322" t="s">
        <v>61</v>
      </c>
      <c r="O1088" s="324"/>
    </row>
    <row r="1089" spans="1:15" ht="15.75" thickBot="1" x14ac:dyDescent="0.3">
      <c r="A1089" s="328"/>
      <c r="B1089" s="323"/>
      <c r="C1089" s="323"/>
      <c r="D1089" s="323"/>
      <c r="E1089" s="323"/>
      <c r="F1089" s="323"/>
      <c r="G1089" s="51" t="s">
        <v>62</v>
      </c>
      <c r="H1089" s="328"/>
      <c r="I1089" s="323"/>
      <c r="J1089" s="323"/>
      <c r="K1089" s="323"/>
      <c r="L1089" s="323"/>
      <c r="M1089" s="323"/>
      <c r="N1089" s="51" t="s">
        <v>62</v>
      </c>
      <c r="O1089" s="52" t="s">
        <v>63</v>
      </c>
    </row>
    <row r="1090" spans="1:15" ht="15" customHeight="1" x14ac:dyDescent="0.25">
      <c r="A1090" s="318" t="e">
        <f>+A1055+1</f>
        <v>#REF!</v>
      </c>
      <c r="B1090" s="312">
        <v>42345</v>
      </c>
      <c r="C1090" s="314" t="s">
        <v>221</v>
      </c>
      <c r="D1090" s="318" t="s">
        <v>560</v>
      </c>
      <c r="E1090" s="318" t="s">
        <v>5</v>
      </c>
      <c r="F1090" s="320">
        <v>182000</v>
      </c>
      <c r="G1090" s="53">
        <v>719</v>
      </c>
      <c r="H1090" s="310" t="s">
        <v>436</v>
      </c>
      <c r="I1090" s="312">
        <v>45741</v>
      </c>
      <c r="J1090" s="318" t="s">
        <v>193</v>
      </c>
      <c r="K1090" s="318" t="s">
        <v>561</v>
      </c>
      <c r="L1090" s="318" t="s">
        <v>283</v>
      </c>
      <c r="M1090" s="320">
        <v>400000</v>
      </c>
      <c r="N1090" s="53">
        <v>719</v>
      </c>
      <c r="O1090" s="54">
        <f>+M1090</f>
        <v>400000</v>
      </c>
    </row>
    <row r="1091" spans="1:15" ht="11.25" customHeight="1" thickBot="1" x14ac:dyDescent="0.3">
      <c r="A1091" s="319"/>
      <c r="B1091" s="313"/>
      <c r="C1091" s="315"/>
      <c r="D1091" s="319"/>
      <c r="E1091" s="319"/>
      <c r="F1091" s="321"/>
      <c r="G1091" s="55">
        <v>721</v>
      </c>
      <c r="H1091" s="311"/>
      <c r="I1091" s="313"/>
      <c r="J1091" s="319"/>
      <c r="K1091" s="319"/>
      <c r="L1091" s="319"/>
      <c r="M1091" s="321"/>
      <c r="N1091" s="55">
        <v>721</v>
      </c>
      <c r="O1091" s="56">
        <v>0</v>
      </c>
    </row>
    <row r="1092" spans="1:15" ht="12.75" customHeight="1" x14ac:dyDescent="0.25">
      <c r="A1092" s="318" t="e">
        <f>+A1090+1</f>
        <v>#REF!</v>
      </c>
      <c r="B1092" s="312">
        <v>42345</v>
      </c>
      <c r="C1092" s="318" t="s">
        <v>70</v>
      </c>
      <c r="D1092" s="318" t="s">
        <v>562</v>
      </c>
      <c r="E1092" s="318" t="s">
        <v>5</v>
      </c>
      <c r="F1092" s="320">
        <v>266000</v>
      </c>
      <c r="G1092" s="53">
        <v>719</v>
      </c>
      <c r="H1092" s="310" t="s">
        <v>563</v>
      </c>
      <c r="I1092" s="312">
        <v>45741</v>
      </c>
      <c r="J1092" s="318" t="s">
        <v>193</v>
      </c>
      <c r="K1092" s="318" t="s">
        <v>564</v>
      </c>
      <c r="L1092" s="318" t="s">
        <v>66</v>
      </c>
      <c r="M1092" s="320">
        <v>1066500</v>
      </c>
      <c r="N1092" s="53">
        <v>719</v>
      </c>
      <c r="O1092" s="54">
        <v>790000</v>
      </c>
    </row>
    <row r="1093" spans="1:15" ht="13.5" customHeight="1" thickBot="1" x14ac:dyDescent="0.3">
      <c r="A1093" s="319"/>
      <c r="B1093" s="313"/>
      <c r="C1093" s="319"/>
      <c r="D1093" s="319"/>
      <c r="E1093" s="319"/>
      <c r="F1093" s="321"/>
      <c r="G1093" s="55">
        <v>721</v>
      </c>
      <c r="H1093" s="311"/>
      <c r="I1093" s="313"/>
      <c r="J1093" s="319"/>
      <c r="K1093" s="319"/>
      <c r="L1093" s="319"/>
      <c r="M1093" s="321"/>
      <c r="N1093" s="55">
        <v>721</v>
      </c>
      <c r="O1093" s="56">
        <f>+M1092-O1092</f>
        <v>276500</v>
      </c>
    </row>
    <row r="1094" spans="1:15" ht="13.5" customHeight="1" x14ac:dyDescent="0.25">
      <c r="A1094" s="318" t="e">
        <f>+A1092+1</f>
        <v>#REF!</v>
      </c>
      <c r="B1094" s="312">
        <v>42345</v>
      </c>
      <c r="C1094" s="314" t="s">
        <v>106</v>
      </c>
      <c r="D1094" s="318" t="s">
        <v>560</v>
      </c>
      <c r="E1094" s="318" t="s">
        <v>5</v>
      </c>
      <c r="F1094" s="320">
        <v>70000</v>
      </c>
      <c r="G1094" s="53">
        <v>719</v>
      </c>
      <c r="H1094" s="310" t="s">
        <v>565</v>
      </c>
      <c r="I1094" s="312">
        <v>45741</v>
      </c>
      <c r="J1094" s="314" t="s">
        <v>68</v>
      </c>
      <c r="K1094" s="318" t="s">
        <v>566</v>
      </c>
      <c r="L1094" s="318" t="s">
        <v>5</v>
      </c>
      <c r="M1094" s="320">
        <v>480000</v>
      </c>
      <c r="N1094" s="53">
        <v>719</v>
      </c>
      <c r="O1094" s="54">
        <v>480000</v>
      </c>
    </row>
    <row r="1095" spans="1:15" ht="12.75" customHeight="1" thickBot="1" x14ac:dyDescent="0.3">
      <c r="A1095" s="319"/>
      <c r="B1095" s="313"/>
      <c r="C1095" s="315"/>
      <c r="D1095" s="319"/>
      <c r="E1095" s="319"/>
      <c r="F1095" s="321"/>
      <c r="G1095" s="55">
        <v>721</v>
      </c>
      <c r="H1095" s="311"/>
      <c r="I1095" s="313"/>
      <c r="J1095" s="315"/>
      <c r="K1095" s="319"/>
      <c r="L1095" s="319"/>
      <c r="M1095" s="321"/>
      <c r="N1095" s="55">
        <v>721</v>
      </c>
      <c r="O1095" s="56">
        <f>+M1094-O1094</f>
        <v>0</v>
      </c>
    </row>
    <row r="1096" spans="1:15" ht="12.75" customHeight="1" x14ac:dyDescent="0.25">
      <c r="A1096" s="57"/>
      <c r="B1096" s="58"/>
      <c r="C1096" s="103"/>
      <c r="D1096" s="57"/>
      <c r="E1096" s="57"/>
      <c r="F1096" s="60"/>
      <c r="G1096" s="61"/>
      <c r="H1096" s="310" t="s">
        <v>567</v>
      </c>
      <c r="I1096" s="312">
        <v>45741</v>
      </c>
      <c r="J1096" s="314" t="s">
        <v>68</v>
      </c>
      <c r="K1096" s="318" t="s">
        <v>568</v>
      </c>
      <c r="L1096" s="318" t="s">
        <v>5</v>
      </c>
      <c r="M1096" s="320">
        <v>490000</v>
      </c>
      <c r="N1096" s="53">
        <v>719</v>
      </c>
      <c r="O1096" s="54">
        <v>490000</v>
      </c>
    </row>
    <row r="1097" spans="1:15" ht="12.75" customHeight="1" thickBot="1" x14ac:dyDescent="0.3">
      <c r="A1097" s="57"/>
      <c r="B1097" s="58"/>
      <c r="C1097" s="103"/>
      <c r="D1097" s="57"/>
      <c r="E1097" s="57"/>
      <c r="F1097" s="60"/>
      <c r="G1097" s="61"/>
      <c r="H1097" s="311"/>
      <c r="I1097" s="313"/>
      <c r="J1097" s="315"/>
      <c r="K1097" s="319"/>
      <c r="L1097" s="319"/>
      <c r="M1097" s="321"/>
      <c r="N1097" s="55">
        <v>721</v>
      </c>
      <c r="O1097" s="56">
        <f>+M1096-O1096</f>
        <v>0</v>
      </c>
    </row>
    <row r="1098" spans="1:15" ht="12.75" customHeight="1" x14ac:dyDescent="0.25">
      <c r="A1098" s="57"/>
      <c r="B1098" s="58"/>
      <c r="C1098" s="103"/>
      <c r="D1098" s="57"/>
      <c r="E1098" s="57"/>
      <c r="F1098" s="60"/>
      <c r="G1098" s="61"/>
      <c r="H1098" s="310" t="s">
        <v>569</v>
      </c>
      <c r="I1098" s="312">
        <v>45741</v>
      </c>
      <c r="J1098" s="314" t="s">
        <v>136</v>
      </c>
      <c r="K1098" s="318" t="s">
        <v>564</v>
      </c>
      <c r="L1098" s="318" t="s">
        <v>66</v>
      </c>
      <c r="M1098" s="320">
        <v>621000</v>
      </c>
      <c r="N1098" s="53">
        <v>719</v>
      </c>
      <c r="O1098" s="54">
        <v>460000</v>
      </c>
    </row>
    <row r="1099" spans="1:15" ht="12.75" customHeight="1" thickBot="1" x14ac:dyDescent="0.3">
      <c r="A1099" s="57"/>
      <c r="B1099" s="58"/>
      <c r="C1099" s="103"/>
      <c r="D1099" s="57"/>
      <c r="E1099" s="57"/>
      <c r="F1099" s="60"/>
      <c r="G1099" s="61"/>
      <c r="H1099" s="311"/>
      <c r="I1099" s="313"/>
      <c r="J1099" s="315"/>
      <c r="K1099" s="319"/>
      <c r="L1099" s="319"/>
      <c r="M1099" s="321"/>
      <c r="N1099" s="55">
        <v>721</v>
      </c>
      <c r="O1099" s="56">
        <f>+M1098-O1098</f>
        <v>161000</v>
      </c>
    </row>
    <row r="1100" spans="1:15" ht="16.5" thickBot="1" x14ac:dyDescent="0.3">
      <c r="A1100" s="297" t="s">
        <v>80</v>
      </c>
      <c r="B1100" s="298"/>
      <c r="C1100" s="298"/>
      <c r="D1100" s="298"/>
      <c r="E1100" s="299"/>
      <c r="F1100" s="62">
        <f>SUM(F1090:F1099)</f>
        <v>518000</v>
      </c>
      <c r="H1100" s="297" t="s">
        <v>80</v>
      </c>
      <c r="I1100" s="298"/>
      <c r="J1100" s="298"/>
      <c r="K1100" s="298"/>
      <c r="L1100" s="299"/>
      <c r="M1100" s="62">
        <f>SUM(M1090:M1099)</f>
        <v>3057500</v>
      </c>
    </row>
    <row r="1101" spans="1:15" ht="16.5" thickBot="1" x14ac:dyDescent="0.3">
      <c r="A1101" s="300" t="s">
        <v>81</v>
      </c>
      <c r="B1101" s="301"/>
      <c r="C1101" s="301"/>
      <c r="D1101" s="301"/>
      <c r="E1101" s="302"/>
      <c r="F1101" s="63" t="e">
        <f>+F1065</f>
        <v>#REF!</v>
      </c>
      <c r="H1101" s="300" t="s">
        <v>81</v>
      </c>
      <c r="I1101" s="301"/>
      <c r="J1101" s="301"/>
      <c r="K1101" s="301"/>
      <c r="L1101" s="302"/>
      <c r="M1101" s="63">
        <f>+M1065</f>
        <v>3404500</v>
      </c>
      <c r="N1101" s="64" t="s">
        <v>82</v>
      </c>
      <c r="O1101" s="65">
        <f>777+349+338+1883+544</f>
        <v>3891</v>
      </c>
    </row>
    <row r="1102" spans="1:15" ht="16.5" thickBot="1" x14ac:dyDescent="0.3">
      <c r="A1102" s="303" t="s">
        <v>83</v>
      </c>
      <c r="B1102" s="304"/>
      <c r="C1102" s="304"/>
      <c r="D1102" s="304"/>
      <c r="E1102" s="305"/>
      <c r="F1102" s="66" t="e">
        <f>SUM(F1100:F1101)</f>
        <v>#REF!</v>
      </c>
      <c r="H1102" s="303" t="s">
        <v>83</v>
      </c>
      <c r="I1102" s="304"/>
      <c r="J1102" s="304"/>
      <c r="K1102" s="304"/>
      <c r="L1102" s="305"/>
      <c r="M1102" s="66">
        <f>SUM(M1100:M1101)</f>
        <v>6462000</v>
      </c>
    </row>
    <row r="1103" spans="1:15" ht="7.5" customHeight="1" x14ac:dyDescent="0.25">
      <c r="A1103" s="67"/>
      <c r="B1103" s="67"/>
      <c r="C1103" s="67"/>
      <c r="D1103" s="67"/>
      <c r="E1103" s="67"/>
      <c r="H1103" s="67"/>
      <c r="I1103" s="67"/>
      <c r="J1103" s="67"/>
      <c r="K1103" s="67"/>
      <c r="L1103" s="67"/>
    </row>
    <row r="1104" spans="1:15" x14ac:dyDescent="0.25">
      <c r="A1104" s="41" t="s">
        <v>570</v>
      </c>
      <c r="H1104" s="202" t="s">
        <v>571</v>
      </c>
    </row>
    <row r="1105" spans="1:15" ht="7.5" customHeight="1" x14ac:dyDescent="0.25">
      <c r="F1105" s="68"/>
      <c r="M1105" s="68"/>
    </row>
    <row r="1106" spans="1:15" x14ac:dyDescent="0.25">
      <c r="A1106" s="40" t="s">
        <v>86</v>
      </c>
      <c r="D1106" s="69"/>
      <c r="F1106" s="68"/>
      <c r="H1106" s="40" t="s">
        <v>86</v>
      </c>
      <c r="K1106" s="69"/>
      <c r="M1106" s="68"/>
    </row>
    <row r="1107" spans="1:15" ht="9" customHeight="1" thickBot="1" x14ac:dyDescent="0.3"/>
    <row r="1108" spans="1:15" ht="15.75" thickBot="1" x14ac:dyDescent="0.3">
      <c r="A1108" s="306" t="s">
        <v>87</v>
      </c>
      <c r="B1108" s="307"/>
      <c r="C1108" s="307"/>
      <c r="D1108" s="308"/>
      <c r="F1108" s="40" t="s">
        <v>89</v>
      </c>
      <c r="H1108" s="306" t="s">
        <v>87</v>
      </c>
      <c r="I1108" s="307"/>
      <c r="J1108" s="307"/>
      <c r="K1108" s="308"/>
      <c r="M1108" s="351" t="s">
        <v>89</v>
      </c>
      <c r="N1108" s="351"/>
      <c r="O1108" s="351"/>
    </row>
    <row r="1109" spans="1:15" ht="30.75" thickBot="1" x14ac:dyDescent="0.3">
      <c r="A1109" s="70" t="s">
        <v>62</v>
      </c>
      <c r="B1109" s="71" t="s">
        <v>90</v>
      </c>
      <c r="C1109" s="72" t="s">
        <v>91</v>
      </c>
      <c r="D1109" s="73" t="s">
        <v>92</v>
      </c>
      <c r="H1109" s="70" t="s">
        <v>62</v>
      </c>
      <c r="I1109" s="71" t="s">
        <v>90</v>
      </c>
      <c r="J1109" s="72" t="s">
        <v>91</v>
      </c>
      <c r="K1109" s="73" t="s">
        <v>92</v>
      </c>
    </row>
    <row r="1110" spans="1:15" x14ac:dyDescent="0.25">
      <c r="A1110" s="75">
        <v>719</v>
      </c>
      <c r="B1110" s="76" t="e">
        <f>+#REF!+#REF!+#REF!+#REF!+#REF!</f>
        <v>#REF!</v>
      </c>
      <c r="C1110" s="77" t="e">
        <f>+D1073</f>
        <v>#REF!</v>
      </c>
      <c r="D1110" s="79" t="e">
        <f>+B1110+C1110</f>
        <v>#REF!</v>
      </c>
      <c r="H1110" s="75">
        <v>719</v>
      </c>
      <c r="I1110" s="76">
        <f>+O1090+O1092+O1094+O1096+O1098</f>
        <v>2620000</v>
      </c>
      <c r="J1110" s="77">
        <f>+K1073</f>
        <v>2890000</v>
      </c>
      <c r="K1110" s="79">
        <f>+I1110+J1110</f>
        <v>5510000</v>
      </c>
    </row>
    <row r="1111" spans="1:15" ht="12.75" customHeight="1" x14ac:dyDescent="0.25">
      <c r="A1111" s="80">
        <v>721</v>
      </c>
      <c r="B1111" s="81" t="e">
        <f>+#REF!+#REF!+#REF!+#REF!+#REF!</f>
        <v>#REF!</v>
      </c>
      <c r="C1111" s="77" t="e">
        <f>+D1074</f>
        <v>#REF!</v>
      </c>
      <c r="D1111" s="79" t="e">
        <f>+B1111+C1111</f>
        <v>#REF!</v>
      </c>
      <c r="H1111" s="80">
        <v>721</v>
      </c>
      <c r="I1111" s="81">
        <f>+O1091+O1093+O1095+O1097+O1099</f>
        <v>437500</v>
      </c>
      <c r="J1111" s="77">
        <f>+K1074</f>
        <v>514500</v>
      </c>
      <c r="K1111" s="79">
        <f>+I1111+J1111</f>
        <v>952000</v>
      </c>
    </row>
    <row r="1112" spans="1:15" ht="13.5" hidden="1" customHeight="1" x14ac:dyDescent="0.25">
      <c r="A1112" s="80">
        <v>722</v>
      </c>
      <c r="B1112" s="81"/>
      <c r="C1112" s="77" t="e">
        <f>+D1075</f>
        <v>#REF!</v>
      </c>
      <c r="D1112" s="79" t="e">
        <f>+B1112+C1112</f>
        <v>#REF!</v>
      </c>
      <c r="H1112" s="80">
        <v>722</v>
      </c>
      <c r="I1112" s="81"/>
      <c r="J1112" s="77">
        <f>+K1075</f>
        <v>0</v>
      </c>
      <c r="K1112" s="79">
        <f>+I1112+J1112</f>
        <v>0</v>
      </c>
    </row>
    <row r="1113" spans="1:15" ht="13.5" customHeight="1" thickBot="1" x14ac:dyDescent="0.3">
      <c r="A1113" s="80">
        <v>723</v>
      </c>
      <c r="B1113" s="81"/>
      <c r="C1113" s="77" t="e">
        <f>+D1076</f>
        <v>#REF!</v>
      </c>
      <c r="D1113" s="79" t="e">
        <f>+B1113+C1113</f>
        <v>#REF!</v>
      </c>
      <c r="F1113" s="83" t="s">
        <v>93</v>
      </c>
      <c r="G1113" s="84"/>
      <c r="H1113" s="80">
        <v>723</v>
      </c>
      <c r="I1113" s="81"/>
      <c r="J1113" s="77">
        <f>+K1076</f>
        <v>0</v>
      </c>
      <c r="K1113" s="79">
        <f>+I1113+J1113</f>
        <v>0</v>
      </c>
      <c r="M1113" s="343"/>
      <c r="N1113" s="343"/>
      <c r="O1113" s="343"/>
    </row>
    <row r="1114" spans="1:15" ht="14.25" hidden="1" customHeight="1" x14ac:dyDescent="0.25">
      <c r="A1114" s="85" t="s">
        <v>94</v>
      </c>
      <c r="B1114" s="86"/>
      <c r="C1114" s="77" t="e">
        <f>+D1077</f>
        <v>#REF!</v>
      </c>
      <c r="D1114" s="89" t="e">
        <f>+B1114+C1114</f>
        <v>#REF!</v>
      </c>
      <c r="F1114" s="45"/>
      <c r="H1114" s="85" t="s">
        <v>94</v>
      </c>
      <c r="I1114" s="86"/>
      <c r="J1114" s="77" t="e">
        <f>+K1077</f>
        <v>#REF!</v>
      </c>
      <c r="K1114" s="89" t="e">
        <f>+I1114+J1114</f>
        <v>#REF!</v>
      </c>
      <c r="M1114" s="45"/>
    </row>
    <row r="1115" spans="1:15" ht="15" customHeight="1" thickBot="1" x14ac:dyDescent="0.3">
      <c r="A1115" s="90"/>
      <c r="B1115" s="91" t="e">
        <f>SUM(B1110:B1114)</f>
        <v>#REF!</v>
      </c>
      <c r="C1115" s="92" t="e">
        <f>SUM(C1110:C1114)</f>
        <v>#REF!</v>
      </c>
      <c r="D1115" s="93" t="e">
        <f>SUM(D1110:D1114)</f>
        <v>#REF!</v>
      </c>
      <c r="H1115" s="90"/>
      <c r="I1115" s="94">
        <f>SUM(I1110:I1114)</f>
        <v>3057500</v>
      </c>
      <c r="J1115" s="94" t="e">
        <f>SUM(J1110:J1114)</f>
        <v>#REF!</v>
      </c>
      <c r="K1115" s="95" t="e">
        <f>SUM(K1110:K1114)</f>
        <v>#REF!</v>
      </c>
    </row>
    <row r="1116" spans="1:15" ht="16.5" x14ac:dyDescent="0.25">
      <c r="A1116" s="39" t="s">
        <v>46</v>
      </c>
      <c r="B1116" s="40"/>
      <c r="H1116" s="39" t="s">
        <v>46</v>
      </c>
      <c r="I1116" s="40"/>
    </row>
    <row r="1117" spans="1:15" x14ac:dyDescent="0.25">
      <c r="A1117" s="41" t="s">
        <v>47</v>
      </c>
      <c r="H1117" s="41" t="s">
        <v>47</v>
      </c>
    </row>
    <row r="1118" spans="1:15" x14ac:dyDescent="0.25">
      <c r="A1118" s="41" t="s">
        <v>48</v>
      </c>
      <c r="H1118" s="41" t="s">
        <v>48</v>
      </c>
    </row>
    <row r="1119" spans="1:15" ht="13.5" customHeight="1" x14ac:dyDescent="0.25">
      <c r="A1119" s="41" t="s">
        <v>49</v>
      </c>
      <c r="H1119" s="41" t="s">
        <v>49</v>
      </c>
    </row>
    <row r="1120" spans="1:15" ht="5.25" customHeight="1" x14ac:dyDescent="0.25">
      <c r="A1120" s="40"/>
      <c r="B1120" s="40"/>
      <c r="H1120" s="40"/>
      <c r="I1120" s="40"/>
    </row>
    <row r="1121" spans="1:15" ht="15.75" customHeight="1" x14ac:dyDescent="0.25">
      <c r="A1121" s="45" t="s">
        <v>572</v>
      </c>
      <c r="G1121" s="45"/>
      <c r="H1121" s="188" t="s">
        <v>573</v>
      </c>
      <c r="N1121" s="45"/>
    </row>
    <row r="1122" spans="1:15" ht="15.75" x14ac:dyDescent="0.25">
      <c r="A1122" s="47" t="s">
        <v>52</v>
      </c>
      <c r="G1122" s="47"/>
      <c r="H1122" s="47" t="s">
        <v>97</v>
      </c>
      <c r="N1122" s="47"/>
    </row>
    <row r="1123" spans="1:15" ht="16.5" x14ac:dyDescent="0.25">
      <c r="A1123" s="326" t="s">
        <v>574</v>
      </c>
      <c r="B1123" s="326"/>
      <c r="C1123" s="326"/>
      <c r="D1123" s="326"/>
      <c r="E1123" s="326"/>
      <c r="F1123" s="326"/>
      <c r="G1123" s="326"/>
      <c r="H1123" s="326" t="s">
        <v>116</v>
      </c>
      <c r="I1123" s="326"/>
      <c r="J1123" s="326"/>
      <c r="K1123" s="326"/>
      <c r="L1123" s="326"/>
      <c r="M1123" s="326"/>
      <c r="N1123" s="326"/>
      <c r="O1123" s="326"/>
    </row>
    <row r="1124" spans="1:15" ht="7.5" customHeight="1" thickBot="1" x14ac:dyDescent="0.3"/>
    <row r="1125" spans="1:15" x14ac:dyDescent="0.25">
      <c r="A1125" s="327" t="s">
        <v>56</v>
      </c>
      <c r="B1125" s="322" t="s">
        <v>57</v>
      </c>
      <c r="C1125" s="322" t="s">
        <v>58</v>
      </c>
      <c r="D1125" s="322" t="s">
        <v>7</v>
      </c>
      <c r="E1125" s="322" t="s">
        <v>59</v>
      </c>
      <c r="F1125" s="322" t="s">
        <v>60</v>
      </c>
      <c r="G1125" s="50" t="s">
        <v>61</v>
      </c>
      <c r="H1125" s="327" t="s">
        <v>56</v>
      </c>
      <c r="I1125" s="322" t="s">
        <v>57</v>
      </c>
      <c r="J1125" s="322" t="s">
        <v>58</v>
      </c>
      <c r="K1125" s="322" t="s">
        <v>7</v>
      </c>
      <c r="L1125" s="322" t="s">
        <v>59</v>
      </c>
      <c r="M1125" s="322" t="s">
        <v>60</v>
      </c>
      <c r="N1125" s="322" t="s">
        <v>61</v>
      </c>
      <c r="O1125" s="324"/>
    </row>
    <row r="1126" spans="1:15" ht="15.75" thickBot="1" x14ac:dyDescent="0.3">
      <c r="A1126" s="328"/>
      <c r="B1126" s="323"/>
      <c r="C1126" s="323"/>
      <c r="D1126" s="323"/>
      <c r="E1126" s="323"/>
      <c r="F1126" s="323"/>
      <c r="G1126" s="51" t="s">
        <v>62</v>
      </c>
      <c r="H1126" s="328"/>
      <c r="I1126" s="323"/>
      <c r="J1126" s="323"/>
      <c r="K1126" s="323"/>
      <c r="L1126" s="323"/>
      <c r="M1126" s="323"/>
      <c r="N1126" s="51" t="s">
        <v>62</v>
      </c>
      <c r="O1126" s="52" t="s">
        <v>63</v>
      </c>
    </row>
    <row r="1127" spans="1:15" ht="13.5" customHeight="1" x14ac:dyDescent="0.25">
      <c r="A1127" s="344">
        <v>1</v>
      </c>
      <c r="B1127" s="312">
        <v>42345</v>
      </c>
      <c r="C1127" s="314" t="s">
        <v>575</v>
      </c>
      <c r="D1127" s="314" t="s">
        <v>576</v>
      </c>
      <c r="E1127" s="318" t="s">
        <v>186</v>
      </c>
      <c r="F1127" s="320">
        <v>-4280256</v>
      </c>
      <c r="G1127" s="53">
        <v>719</v>
      </c>
      <c r="H1127" s="310" t="s">
        <v>577</v>
      </c>
      <c r="I1127" s="312">
        <v>45782</v>
      </c>
      <c r="J1127" s="314" t="s">
        <v>136</v>
      </c>
      <c r="K1127" s="352" t="s">
        <v>578</v>
      </c>
      <c r="L1127" s="318" t="s">
        <v>5</v>
      </c>
      <c r="M1127" s="320">
        <v>500000</v>
      </c>
      <c r="N1127" s="53">
        <v>719</v>
      </c>
      <c r="O1127" s="54">
        <f>+M1127</f>
        <v>500000</v>
      </c>
    </row>
    <row r="1128" spans="1:15" ht="12.75" customHeight="1" thickBot="1" x14ac:dyDescent="0.3">
      <c r="A1128" s="345"/>
      <c r="B1128" s="313"/>
      <c r="C1128" s="315"/>
      <c r="D1128" s="315"/>
      <c r="E1128" s="319"/>
      <c r="F1128" s="321"/>
      <c r="G1128" s="55">
        <v>721</v>
      </c>
      <c r="H1128" s="311"/>
      <c r="I1128" s="313"/>
      <c r="J1128" s="315"/>
      <c r="K1128" s="353"/>
      <c r="L1128" s="319"/>
      <c r="M1128" s="321"/>
      <c r="N1128" s="55">
        <v>721</v>
      </c>
      <c r="O1128" s="56">
        <f>+M1127-O1127</f>
        <v>0</v>
      </c>
    </row>
    <row r="1129" spans="1:15" ht="13.5" customHeight="1" x14ac:dyDescent="0.25">
      <c r="A1129" s="344">
        <v>2</v>
      </c>
      <c r="B1129" s="312">
        <v>42345</v>
      </c>
      <c r="C1129" s="314" t="s">
        <v>191</v>
      </c>
      <c r="D1129" s="314" t="s">
        <v>576</v>
      </c>
      <c r="E1129" s="318" t="s">
        <v>186</v>
      </c>
      <c r="F1129" s="320">
        <v>-2140128</v>
      </c>
      <c r="G1129" s="53">
        <v>719</v>
      </c>
      <c r="H1129" s="310" t="s">
        <v>579</v>
      </c>
      <c r="I1129" s="312">
        <v>45782</v>
      </c>
      <c r="J1129" s="314" t="s">
        <v>136</v>
      </c>
      <c r="K1129" s="316" t="s">
        <v>580</v>
      </c>
      <c r="L1129" s="318" t="s">
        <v>5</v>
      </c>
      <c r="M1129" s="320">
        <v>470000</v>
      </c>
      <c r="N1129" s="53">
        <v>719</v>
      </c>
      <c r="O1129" s="54">
        <f>+M1129</f>
        <v>470000</v>
      </c>
    </row>
    <row r="1130" spans="1:15" ht="10.5" customHeight="1" thickBot="1" x14ac:dyDescent="0.3">
      <c r="A1130" s="345"/>
      <c r="B1130" s="313"/>
      <c r="C1130" s="315"/>
      <c r="D1130" s="315"/>
      <c r="E1130" s="319"/>
      <c r="F1130" s="321"/>
      <c r="G1130" s="55">
        <v>721</v>
      </c>
      <c r="H1130" s="311"/>
      <c r="I1130" s="313"/>
      <c r="J1130" s="315"/>
      <c r="K1130" s="317"/>
      <c r="L1130" s="319"/>
      <c r="M1130" s="321"/>
      <c r="N1130" s="55">
        <v>721</v>
      </c>
      <c r="O1130" s="56">
        <v>0</v>
      </c>
    </row>
    <row r="1131" spans="1:15" ht="13.5" customHeight="1" x14ac:dyDescent="0.25">
      <c r="A1131" s="318"/>
      <c r="B1131" s="312"/>
      <c r="C1131" s="314"/>
      <c r="D1131" s="318"/>
      <c r="E1131" s="318"/>
      <c r="F1131" s="320"/>
      <c r="G1131" s="53">
        <v>719</v>
      </c>
      <c r="H1131" s="310" t="s">
        <v>581</v>
      </c>
      <c r="I1131" s="312">
        <v>45782</v>
      </c>
      <c r="J1131" s="318" t="s">
        <v>193</v>
      </c>
      <c r="K1131" s="316" t="s">
        <v>582</v>
      </c>
      <c r="L1131" s="318" t="s">
        <v>283</v>
      </c>
      <c r="M1131" s="320">
        <v>490000</v>
      </c>
      <c r="N1131" s="53">
        <v>719</v>
      </c>
      <c r="O1131" s="54">
        <v>490000</v>
      </c>
    </row>
    <row r="1132" spans="1:15" ht="9.75" customHeight="1" thickBot="1" x14ac:dyDescent="0.3">
      <c r="A1132" s="319"/>
      <c r="B1132" s="313"/>
      <c r="C1132" s="315"/>
      <c r="D1132" s="319"/>
      <c r="E1132" s="319"/>
      <c r="F1132" s="321"/>
      <c r="G1132" s="55">
        <v>721</v>
      </c>
      <c r="H1132" s="311"/>
      <c r="I1132" s="313"/>
      <c r="J1132" s="319"/>
      <c r="K1132" s="317"/>
      <c r="L1132" s="319"/>
      <c r="M1132" s="321"/>
      <c r="N1132" s="55">
        <v>721</v>
      </c>
      <c r="O1132" s="56">
        <v>0</v>
      </c>
    </row>
    <row r="1133" spans="1:15" ht="12.75" customHeight="1" x14ac:dyDescent="0.25">
      <c r="A1133" s="318"/>
      <c r="B1133" s="312"/>
      <c r="C1133" s="314"/>
      <c r="D1133" s="318"/>
      <c r="E1133" s="318"/>
      <c r="F1133" s="320"/>
      <c r="G1133" s="53">
        <v>719</v>
      </c>
      <c r="H1133" s="310" t="s">
        <v>583</v>
      </c>
      <c r="I1133" s="312">
        <v>45782</v>
      </c>
      <c r="J1133" s="314" t="s">
        <v>136</v>
      </c>
      <c r="K1133" s="316" t="s">
        <v>584</v>
      </c>
      <c r="L1133" s="318" t="s">
        <v>66</v>
      </c>
      <c r="M1133" s="320">
        <v>891000</v>
      </c>
      <c r="N1133" s="53">
        <v>719</v>
      </c>
      <c r="O1133" s="54">
        <v>660000</v>
      </c>
    </row>
    <row r="1134" spans="1:15" ht="12.75" customHeight="1" thickBot="1" x14ac:dyDescent="0.3">
      <c r="A1134" s="319"/>
      <c r="B1134" s="313"/>
      <c r="C1134" s="315"/>
      <c r="D1134" s="319"/>
      <c r="E1134" s="319"/>
      <c r="F1134" s="321"/>
      <c r="G1134" s="55">
        <v>721</v>
      </c>
      <c r="H1134" s="311"/>
      <c r="I1134" s="313"/>
      <c r="J1134" s="315"/>
      <c r="K1134" s="317"/>
      <c r="L1134" s="319"/>
      <c r="M1134" s="321"/>
      <c r="N1134" s="55">
        <v>721</v>
      </c>
      <c r="O1134" s="56">
        <f>+M1133-O1133</f>
        <v>231000</v>
      </c>
    </row>
    <row r="1135" spans="1:15" ht="14.25" customHeight="1" x14ac:dyDescent="0.25">
      <c r="A1135" s="318"/>
      <c r="B1135" s="312"/>
      <c r="C1135" s="314"/>
      <c r="D1135" s="318"/>
      <c r="E1135" s="318"/>
      <c r="F1135" s="320"/>
      <c r="G1135" s="53">
        <v>719</v>
      </c>
      <c r="H1135" s="310" t="s">
        <v>585</v>
      </c>
      <c r="I1135" s="312">
        <v>45782</v>
      </c>
      <c r="J1135" s="318" t="s">
        <v>193</v>
      </c>
      <c r="K1135" s="316" t="s">
        <v>584</v>
      </c>
      <c r="L1135" s="318" t="s">
        <v>66</v>
      </c>
      <c r="M1135" s="320">
        <v>1242000</v>
      </c>
      <c r="N1135" s="53">
        <v>719</v>
      </c>
      <c r="O1135" s="54">
        <v>920000</v>
      </c>
    </row>
    <row r="1136" spans="1:15" ht="13.5" customHeight="1" thickBot="1" x14ac:dyDescent="0.3">
      <c r="A1136" s="319"/>
      <c r="B1136" s="313"/>
      <c r="C1136" s="315"/>
      <c r="D1136" s="319"/>
      <c r="E1136" s="319"/>
      <c r="F1136" s="321"/>
      <c r="G1136" s="55">
        <v>721</v>
      </c>
      <c r="H1136" s="311"/>
      <c r="I1136" s="313"/>
      <c r="J1136" s="319"/>
      <c r="K1136" s="317"/>
      <c r="L1136" s="319"/>
      <c r="M1136" s="321"/>
      <c r="N1136" s="55">
        <v>721</v>
      </c>
      <c r="O1136" s="56">
        <f>+M1135-O1135</f>
        <v>322000</v>
      </c>
    </row>
    <row r="1137" spans="1:15" ht="16.5" thickBot="1" x14ac:dyDescent="0.3">
      <c r="A1137" s="297" t="s">
        <v>80</v>
      </c>
      <c r="B1137" s="298"/>
      <c r="C1137" s="298"/>
      <c r="D1137" s="298"/>
      <c r="E1137" s="299"/>
      <c r="F1137" s="62">
        <f>SUM(F1127:F1136)</f>
        <v>-6420384</v>
      </c>
      <c r="H1137" s="297" t="s">
        <v>80</v>
      </c>
      <c r="I1137" s="298"/>
      <c r="J1137" s="298"/>
      <c r="K1137" s="298"/>
      <c r="L1137" s="299"/>
      <c r="M1137" s="62">
        <f>SUM(M1127:M1136)</f>
        <v>3593000</v>
      </c>
    </row>
    <row r="1138" spans="1:15" ht="16.5" thickBot="1" x14ac:dyDescent="0.3">
      <c r="A1138" s="300" t="s">
        <v>81</v>
      </c>
      <c r="B1138" s="301"/>
      <c r="C1138" s="301"/>
      <c r="D1138" s="301"/>
      <c r="E1138" s="302"/>
      <c r="F1138" s="63" t="e">
        <f>+F1102</f>
        <v>#REF!</v>
      </c>
      <c r="H1138" s="300" t="s">
        <v>81</v>
      </c>
      <c r="I1138" s="301"/>
      <c r="J1138" s="301"/>
      <c r="K1138" s="301"/>
      <c r="L1138" s="302"/>
      <c r="M1138" s="63">
        <f>+M1102</f>
        <v>6462000</v>
      </c>
      <c r="N1138" s="64" t="s">
        <v>82</v>
      </c>
      <c r="O1138" s="65"/>
    </row>
    <row r="1139" spans="1:15" ht="16.5" thickBot="1" x14ac:dyDescent="0.3">
      <c r="A1139" s="303" t="s">
        <v>83</v>
      </c>
      <c r="B1139" s="304"/>
      <c r="C1139" s="304"/>
      <c r="D1139" s="304"/>
      <c r="E1139" s="305"/>
      <c r="F1139" s="66" t="e">
        <f>SUM(F1137:F1138)</f>
        <v>#REF!</v>
      </c>
      <c r="H1139" s="303" t="s">
        <v>83</v>
      </c>
      <c r="I1139" s="304"/>
      <c r="J1139" s="304"/>
      <c r="K1139" s="304"/>
      <c r="L1139" s="305"/>
      <c r="M1139" s="66">
        <f>SUM(M1137:M1138)</f>
        <v>10055000</v>
      </c>
    </row>
    <row r="1140" spans="1:15" ht="9" customHeight="1" x14ac:dyDescent="0.25">
      <c r="A1140" s="67"/>
      <c r="B1140" s="67"/>
      <c r="C1140" s="67"/>
      <c r="D1140" s="67"/>
      <c r="E1140" s="67"/>
      <c r="H1140" s="67"/>
      <c r="I1140" s="67"/>
      <c r="J1140" s="67"/>
      <c r="K1140" s="67"/>
      <c r="L1140" s="67"/>
    </row>
    <row r="1141" spans="1:15" x14ac:dyDescent="0.25">
      <c r="A1141" s="41" t="s">
        <v>586</v>
      </c>
      <c r="H1141" s="41" t="s">
        <v>587</v>
      </c>
    </row>
    <row r="1142" spans="1:15" ht="4.5" customHeight="1" x14ac:dyDescent="0.25">
      <c r="F1142" s="68"/>
      <c r="M1142" s="68"/>
    </row>
    <row r="1143" spans="1:15" x14ac:dyDescent="0.25">
      <c r="A1143" s="40" t="s">
        <v>86</v>
      </c>
      <c r="D1143" s="69"/>
      <c r="F1143" s="68"/>
      <c r="H1143" s="40" t="s">
        <v>86</v>
      </c>
      <c r="K1143" s="69"/>
      <c r="M1143" s="68"/>
    </row>
    <row r="1144" spans="1:15" ht="8.25" customHeight="1" thickBot="1" x14ac:dyDescent="0.3"/>
    <row r="1145" spans="1:15" ht="15.75" thickBot="1" x14ac:dyDescent="0.3">
      <c r="A1145" s="306" t="s">
        <v>87</v>
      </c>
      <c r="B1145" s="307"/>
      <c r="C1145" s="307"/>
      <c r="D1145" s="308"/>
      <c r="F1145" s="40" t="s">
        <v>89</v>
      </c>
      <c r="H1145" s="306" t="s">
        <v>87</v>
      </c>
      <c r="I1145" s="307"/>
      <c r="J1145" s="307"/>
      <c r="K1145" s="308"/>
      <c r="M1145" s="351" t="s">
        <v>89</v>
      </c>
      <c r="N1145" s="351"/>
      <c r="O1145" s="351"/>
    </row>
    <row r="1146" spans="1:15" ht="30.75" thickBot="1" x14ac:dyDescent="0.3">
      <c r="A1146" s="70" t="s">
        <v>62</v>
      </c>
      <c r="B1146" s="71" t="s">
        <v>90</v>
      </c>
      <c r="C1146" s="72" t="s">
        <v>91</v>
      </c>
      <c r="D1146" s="73" t="s">
        <v>92</v>
      </c>
      <c r="H1146" s="70" t="s">
        <v>62</v>
      </c>
      <c r="I1146" s="71" t="s">
        <v>90</v>
      </c>
      <c r="J1146" s="72" t="s">
        <v>91</v>
      </c>
      <c r="K1146" s="73" t="s">
        <v>92</v>
      </c>
    </row>
    <row r="1147" spans="1:15" x14ac:dyDescent="0.25">
      <c r="A1147" s="75">
        <v>719</v>
      </c>
      <c r="B1147" s="76" t="e">
        <f>+#REF!+#REF!+#REF!+#REF!+#REF!</f>
        <v>#REF!</v>
      </c>
      <c r="C1147" s="77" t="e">
        <f>+D1110</f>
        <v>#REF!</v>
      </c>
      <c r="D1147" s="79" t="e">
        <f>+B1147+C1147</f>
        <v>#REF!</v>
      </c>
      <c r="H1147" s="75">
        <v>719</v>
      </c>
      <c r="I1147" s="76">
        <f>+O1127+O1129+O1131+O1133+O1135</f>
        <v>3040000</v>
      </c>
      <c r="J1147" s="77">
        <f>+K1110</f>
        <v>5510000</v>
      </c>
      <c r="K1147" s="79">
        <f>+I1147+J1147</f>
        <v>8550000</v>
      </c>
    </row>
    <row r="1148" spans="1:15" x14ac:dyDescent="0.25">
      <c r="A1148" s="80">
        <v>721</v>
      </c>
      <c r="B1148" s="81" t="e">
        <f>(+#REF!+#REF!+#REF!+#REF!+#REF!)</f>
        <v>#REF!</v>
      </c>
      <c r="C1148" s="77" t="e">
        <f>+D1111</f>
        <v>#REF!</v>
      </c>
      <c r="D1148" s="79" t="e">
        <f>+B1148+C1148</f>
        <v>#REF!</v>
      </c>
      <c r="H1148" s="80">
        <v>721</v>
      </c>
      <c r="I1148" s="81">
        <f>+O1136+O1134+O1132+O1130+O1128</f>
        <v>553000</v>
      </c>
      <c r="J1148" s="77">
        <f>+K1111</f>
        <v>952000</v>
      </c>
      <c r="K1148" s="79">
        <f>+I1148+J1148</f>
        <v>1505000</v>
      </c>
    </row>
    <row r="1149" spans="1:15" ht="15.75" hidden="1" x14ac:dyDescent="0.25">
      <c r="A1149" s="80">
        <v>722</v>
      </c>
      <c r="B1149" s="81"/>
      <c r="C1149" s="77" t="e">
        <f>+D1112</f>
        <v>#REF!</v>
      </c>
      <c r="D1149" s="79" t="e">
        <f>+B1149+C1149</f>
        <v>#REF!</v>
      </c>
      <c r="H1149" s="80">
        <v>722</v>
      </c>
      <c r="I1149" s="81"/>
      <c r="J1149" s="77">
        <f>+K1112</f>
        <v>0</v>
      </c>
      <c r="K1149" s="79">
        <f>+I1149+J1149</f>
        <v>0</v>
      </c>
      <c r="M1149" s="343"/>
      <c r="N1149" s="343"/>
      <c r="O1149" s="343"/>
    </row>
    <row r="1150" spans="1:15" ht="14.25" customHeight="1" thickBot="1" x14ac:dyDescent="0.3">
      <c r="A1150" s="80">
        <v>723</v>
      </c>
      <c r="B1150" s="81"/>
      <c r="C1150" s="77" t="e">
        <f>+D1113</f>
        <v>#REF!</v>
      </c>
      <c r="D1150" s="79" t="e">
        <f>+B1150+C1150</f>
        <v>#REF!</v>
      </c>
      <c r="F1150" s="83" t="s">
        <v>93</v>
      </c>
      <c r="G1150" s="84"/>
      <c r="H1150" s="80">
        <v>723</v>
      </c>
      <c r="I1150" s="81"/>
      <c r="J1150" s="77">
        <f>+K1113</f>
        <v>0</v>
      </c>
      <c r="K1150" s="79">
        <f>+I1150+J1150</f>
        <v>0</v>
      </c>
      <c r="M1150" s="109"/>
      <c r="N1150" s="84"/>
    </row>
    <row r="1151" spans="1:15" ht="13.5" hidden="1" customHeight="1" x14ac:dyDescent="0.25">
      <c r="A1151" s="85" t="s">
        <v>94</v>
      </c>
      <c r="B1151" s="86"/>
      <c r="C1151" s="77" t="e">
        <f>+D1114</f>
        <v>#REF!</v>
      </c>
      <c r="D1151" s="89" t="e">
        <f>+B1151+C1151</f>
        <v>#REF!</v>
      </c>
      <c r="F1151" s="45"/>
      <c r="H1151" s="85" t="s">
        <v>94</v>
      </c>
      <c r="I1151" s="86"/>
      <c r="J1151" s="77" t="e">
        <f>+K1114</f>
        <v>#REF!</v>
      </c>
      <c r="K1151" s="89" t="e">
        <f>+I1151+J1151</f>
        <v>#REF!</v>
      </c>
      <c r="M1151" s="45"/>
    </row>
    <row r="1152" spans="1:15" ht="16.5" thickBot="1" x14ac:dyDescent="0.3">
      <c r="A1152" s="90"/>
      <c r="B1152" s="91" t="e">
        <f>SUM(B1147:B1151)</f>
        <v>#REF!</v>
      </c>
      <c r="C1152" s="92" t="e">
        <f>SUM(C1147:C1151)</f>
        <v>#REF!</v>
      </c>
      <c r="D1152" s="93" t="e">
        <f>SUM(D1147:D1151)</f>
        <v>#REF!</v>
      </c>
      <c r="H1152" s="90"/>
      <c r="I1152" s="94">
        <f>SUM(I1147:I1151)</f>
        <v>3593000</v>
      </c>
      <c r="J1152" s="94" t="e">
        <f>SUM(J1147:J1151)</f>
        <v>#REF!</v>
      </c>
      <c r="K1152" s="95" t="e">
        <f>SUM(K1147:K1151)</f>
        <v>#REF!</v>
      </c>
    </row>
    <row r="1153" spans="1:15" ht="16.5" x14ac:dyDescent="0.25">
      <c r="A1153" s="39" t="s">
        <v>46</v>
      </c>
      <c r="B1153" s="40"/>
      <c r="H1153" s="39" t="s">
        <v>46</v>
      </c>
      <c r="I1153" s="40"/>
    </row>
    <row r="1154" spans="1:15" ht="14.25" customHeight="1" x14ac:dyDescent="0.25">
      <c r="A1154" s="41" t="s">
        <v>47</v>
      </c>
      <c r="H1154" s="41" t="s">
        <v>47</v>
      </c>
    </row>
    <row r="1155" spans="1:15" ht="12.75" customHeight="1" x14ac:dyDescent="0.25">
      <c r="A1155" s="41" t="s">
        <v>48</v>
      </c>
      <c r="H1155" s="41" t="s">
        <v>48</v>
      </c>
    </row>
    <row r="1156" spans="1:15" x14ac:dyDescent="0.25">
      <c r="A1156" s="41" t="s">
        <v>49</v>
      </c>
      <c r="H1156" s="41" t="s">
        <v>49</v>
      </c>
    </row>
    <row r="1157" spans="1:15" ht="6" customHeight="1" x14ac:dyDescent="0.25">
      <c r="A1157" s="40"/>
      <c r="B1157" s="40"/>
      <c r="H1157" s="40"/>
      <c r="I1157" s="40"/>
    </row>
    <row r="1158" spans="1:15" ht="14.25" customHeight="1" x14ac:dyDescent="0.25">
      <c r="A1158" s="45" t="s">
        <v>588</v>
      </c>
      <c r="G1158" s="45"/>
      <c r="H1158" s="188" t="s">
        <v>589</v>
      </c>
      <c r="N1158" s="45"/>
    </row>
    <row r="1159" spans="1:15" ht="15.75" x14ac:dyDescent="0.25">
      <c r="A1159" s="47" t="s">
        <v>52</v>
      </c>
      <c r="G1159" s="47"/>
      <c r="H1159" s="47" t="s">
        <v>97</v>
      </c>
      <c r="N1159" s="47"/>
    </row>
    <row r="1160" spans="1:15" ht="15.75" customHeight="1" x14ac:dyDescent="0.25">
      <c r="A1160" s="326" t="s">
        <v>500</v>
      </c>
      <c r="B1160" s="326"/>
      <c r="C1160" s="326"/>
      <c r="D1160" s="326"/>
      <c r="E1160" s="326"/>
      <c r="F1160" s="326"/>
      <c r="G1160" s="326"/>
      <c r="H1160" s="326" t="s">
        <v>545</v>
      </c>
      <c r="I1160" s="326"/>
      <c r="J1160" s="326"/>
      <c r="K1160" s="326"/>
      <c r="L1160" s="326"/>
      <c r="M1160" s="326"/>
      <c r="N1160" s="326"/>
      <c r="O1160" s="326"/>
    </row>
    <row r="1161" spans="1:15" ht="9.75" customHeight="1" thickBot="1" x14ac:dyDescent="0.3"/>
    <row r="1162" spans="1:15" x14ac:dyDescent="0.25">
      <c r="A1162" s="327" t="s">
        <v>56</v>
      </c>
      <c r="B1162" s="322" t="s">
        <v>57</v>
      </c>
      <c r="C1162" s="322" t="s">
        <v>58</v>
      </c>
      <c r="D1162" s="322" t="s">
        <v>7</v>
      </c>
      <c r="E1162" s="322" t="s">
        <v>59</v>
      </c>
      <c r="F1162" s="322" t="s">
        <v>60</v>
      </c>
      <c r="G1162" s="50" t="s">
        <v>61</v>
      </c>
      <c r="H1162" s="327" t="s">
        <v>56</v>
      </c>
      <c r="I1162" s="322" t="s">
        <v>57</v>
      </c>
      <c r="J1162" s="322" t="s">
        <v>58</v>
      </c>
      <c r="K1162" s="322" t="s">
        <v>7</v>
      </c>
      <c r="L1162" s="322" t="s">
        <v>59</v>
      </c>
      <c r="M1162" s="322" t="s">
        <v>60</v>
      </c>
      <c r="N1162" s="322" t="s">
        <v>61</v>
      </c>
      <c r="O1162" s="324"/>
    </row>
    <row r="1163" spans="1:15" ht="15.75" thickBot="1" x14ac:dyDescent="0.3">
      <c r="A1163" s="328"/>
      <c r="B1163" s="323"/>
      <c r="C1163" s="323"/>
      <c r="D1163" s="323"/>
      <c r="E1163" s="323"/>
      <c r="F1163" s="323"/>
      <c r="G1163" s="51" t="s">
        <v>62</v>
      </c>
      <c r="H1163" s="328"/>
      <c r="I1163" s="323"/>
      <c r="J1163" s="323"/>
      <c r="K1163" s="323"/>
      <c r="L1163" s="323"/>
      <c r="M1163" s="323"/>
      <c r="N1163" s="51" t="s">
        <v>62</v>
      </c>
      <c r="O1163" s="52" t="s">
        <v>63</v>
      </c>
    </row>
    <row r="1164" spans="1:15" ht="14.25" customHeight="1" x14ac:dyDescent="0.25">
      <c r="A1164" s="344" t="e">
        <f>+#REF!+1</f>
        <v>#REF!</v>
      </c>
      <c r="B1164" s="312">
        <v>42355</v>
      </c>
      <c r="C1164" s="314" t="s">
        <v>64</v>
      </c>
      <c r="D1164" s="314" t="s">
        <v>590</v>
      </c>
      <c r="E1164" s="318" t="s">
        <v>66</v>
      </c>
      <c r="F1164" s="320">
        <v>50000</v>
      </c>
      <c r="G1164" s="53">
        <v>719</v>
      </c>
      <c r="H1164" s="310" t="s">
        <v>591</v>
      </c>
      <c r="I1164" s="312">
        <v>45824</v>
      </c>
      <c r="J1164" s="318" t="s">
        <v>193</v>
      </c>
      <c r="K1164" s="316" t="s">
        <v>592</v>
      </c>
      <c r="L1164" s="318" t="s">
        <v>283</v>
      </c>
      <c r="M1164" s="320">
        <v>940000</v>
      </c>
      <c r="N1164" s="53">
        <v>719</v>
      </c>
      <c r="O1164" s="54">
        <f>+M1164-O1165</f>
        <v>940000</v>
      </c>
    </row>
    <row r="1165" spans="1:15" ht="12.75" customHeight="1" thickBot="1" x14ac:dyDescent="0.3">
      <c r="A1165" s="345"/>
      <c r="B1165" s="313"/>
      <c r="C1165" s="315"/>
      <c r="D1165" s="315"/>
      <c r="E1165" s="319"/>
      <c r="F1165" s="321"/>
      <c r="G1165" s="55">
        <v>721</v>
      </c>
      <c r="H1165" s="311"/>
      <c r="I1165" s="313"/>
      <c r="J1165" s="319"/>
      <c r="K1165" s="317"/>
      <c r="L1165" s="319"/>
      <c r="M1165" s="321"/>
      <c r="N1165" s="55">
        <v>721</v>
      </c>
      <c r="O1165" s="56">
        <v>0</v>
      </c>
    </row>
    <row r="1166" spans="1:15" ht="11.25" customHeight="1" x14ac:dyDescent="0.25">
      <c r="A1166" s="344" t="e">
        <f>+A1164+1</f>
        <v>#REF!</v>
      </c>
      <c r="B1166" s="312">
        <v>42355</v>
      </c>
      <c r="C1166" s="314" t="s">
        <v>106</v>
      </c>
      <c r="D1166" s="314" t="s">
        <v>593</v>
      </c>
      <c r="E1166" s="318" t="s">
        <v>66</v>
      </c>
      <c r="F1166" s="320">
        <v>20000</v>
      </c>
      <c r="G1166" s="53">
        <v>719</v>
      </c>
      <c r="H1166" s="310" t="s">
        <v>594</v>
      </c>
      <c r="I1166" s="312">
        <v>45824</v>
      </c>
      <c r="J1166" s="314" t="s">
        <v>68</v>
      </c>
      <c r="K1166" s="316" t="s">
        <v>595</v>
      </c>
      <c r="L1166" s="318" t="s">
        <v>5</v>
      </c>
      <c r="M1166" s="320">
        <v>510000</v>
      </c>
      <c r="N1166" s="53">
        <v>719</v>
      </c>
      <c r="O1166" s="54">
        <v>510000</v>
      </c>
    </row>
    <row r="1167" spans="1:15" ht="13.5" customHeight="1" thickBot="1" x14ac:dyDescent="0.3">
      <c r="A1167" s="345"/>
      <c r="B1167" s="313"/>
      <c r="C1167" s="315"/>
      <c r="D1167" s="315"/>
      <c r="E1167" s="319"/>
      <c r="F1167" s="321"/>
      <c r="G1167" s="55">
        <v>721</v>
      </c>
      <c r="H1167" s="311"/>
      <c r="I1167" s="313"/>
      <c r="J1167" s="315"/>
      <c r="K1167" s="317"/>
      <c r="L1167" s="319"/>
      <c r="M1167" s="321"/>
      <c r="N1167" s="55">
        <v>721</v>
      </c>
      <c r="O1167" s="56">
        <f>+M1166-O1166</f>
        <v>0</v>
      </c>
    </row>
    <row r="1168" spans="1:15" ht="12.75" customHeight="1" x14ac:dyDescent="0.25">
      <c r="A1168" s="344"/>
      <c r="B1168" s="312"/>
      <c r="C1168" s="314"/>
      <c r="D1168" s="318"/>
      <c r="E1168" s="318"/>
      <c r="F1168" s="320"/>
      <c r="G1168" s="53">
        <v>719</v>
      </c>
      <c r="H1168" s="310" t="s">
        <v>596</v>
      </c>
      <c r="I1168" s="312">
        <v>45824</v>
      </c>
      <c r="J1168" s="314" t="s">
        <v>68</v>
      </c>
      <c r="K1168" s="316" t="s">
        <v>597</v>
      </c>
      <c r="L1168" s="318" t="s">
        <v>5</v>
      </c>
      <c r="M1168" s="320">
        <f>560000+530000</f>
        <v>1090000</v>
      </c>
      <c r="N1168" s="53">
        <v>719</v>
      </c>
      <c r="O1168" s="54">
        <f>+M1168-O1169</f>
        <v>1090000</v>
      </c>
    </row>
    <row r="1169" spans="1:15" ht="13.5" customHeight="1" thickBot="1" x14ac:dyDescent="0.3">
      <c r="A1169" s="345"/>
      <c r="B1169" s="313"/>
      <c r="C1169" s="315"/>
      <c r="D1169" s="319"/>
      <c r="E1169" s="319"/>
      <c r="F1169" s="321"/>
      <c r="G1169" s="55">
        <v>721</v>
      </c>
      <c r="H1169" s="311"/>
      <c r="I1169" s="313"/>
      <c r="J1169" s="315"/>
      <c r="K1169" s="317"/>
      <c r="L1169" s="319"/>
      <c r="M1169" s="321"/>
      <c r="N1169" s="55">
        <v>721</v>
      </c>
      <c r="O1169" s="56">
        <v>0</v>
      </c>
    </row>
    <row r="1170" spans="1:15" ht="12" customHeight="1" x14ac:dyDescent="0.25">
      <c r="A1170" s="318"/>
      <c r="B1170" s="312"/>
      <c r="C1170" s="314"/>
      <c r="D1170" s="318"/>
      <c r="E1170" s="318"/>
      <c r="F1170" s="320"/>
      <c r="G1170" s="53">
        <v>719</v>
      </c>
      <c r="H1170" s="310" t="s">
        <v>598</v>
      </c>
      <c r="I1170" s="312">
        <v>45824</v>
      </c>
      <c r="J1170" s="314" t="s">
        <v>68</v>
      </c>
      <c r="K1170" s="316" t="s">
        <v>194</v>
      </c>
      <c r="L1170" s="318" t="s">
        <v>5</v>
      </c>
      <c r="M1170" s="320">
        <f>570000+540000</f>
        <v>1110000</v>
      </c>
      <c r="N1170" s="53">
        <v>719</v>
      </c>
      <c r="O1170" s="54">
        <f>+M1170-O1171</f>
        <v>1110000</v>
      </c>
    </row>
    <row r="1171" spans="1:15" ht="12.75" customHeight="1" thickBot="1" x14ac:dyDescent="0.3">
      <c r="A1171" s="319"/>
      <c r="B1171" s="313"/>
      <c r="C1171" s="315"/>
      <c r="D1171" s="319"/>
      <c r="E1171" s="319"/>
      <c r="F1171" s="321"/>
      <c r="G1171" s="55">
        <v>721</v>
      </c>
      <c r="H1171" s="311"/>
      <c r="I1171" s="313"/>
      <c r="J1171" s="315"/>
      <c r="K1171" s="317"/>
      <c r="L1171" s="319"/>
      <c r="M1171" s="321"/>
      <c r="N1171" s="55">
        <v>721</v>
      </c>
      <c r="O1171" s="56">
        <v>0</v>
      </c>
    </row>
    <row r="1172" spans="1:15" ht="12.75" customHeight="1" x14ac:dyDescent="0.25">
      <c r="A1172" s="318"/>
      <c r="B1172" s="312"/>
      <c r="C1172" s="314"/>
      <c r="D1172" s="318"/>
      <c r="E1172" s="318"/>
      <c r="F1172" s="320"/>
      <c r="G1172" s="53">
        <v>719</v>
      </c>
      <c r="H1172" s="310" t="s">
        <v>599</v>
      </c>
      <c r="I1172" s="312">
        <v>45824</v>
      </c>
      <c r="J1172" s="314" t="s">
        <v>68</v>
      </c>
      <c r="K1172" s="316" t="s">
        <v>600</v>
      </c>
      <c r="L1172" s="318" t="s">
        <v>5</v>
      </c>
      <c r="M1172" s="320">
        <v>520000</v>
      </c>
      <c r="N1172" s="53">
        <v>719</v>
      </c>
      <c r="O1172" s="54">
        <f>+M1172-O1173</f>
        <v>520000</v>
      </c>
    </row>
    <row r="1173" spans="1:15" ht="12" customHeight="1" thickBot="1" x14ac:dyDescent="0.3">
      <c r="A1173" s="319"/>
      <c r="B1173" s="313"/>
      <c r="C1173" s="315"/>
      <c r="D1173" s="319"/>
      <c r="E1173" s="319"/>
      <c r="F1173" s="321"/>
      <c r="G1173" s="55">
        <v>721</v>
      </c>
      <c r="H1173" s="311"/>
      <c r="I1173" s="313"/>
      <c r="J1173" s="315"/>
      <c r="K1173" s="317"/>
      <c r="L1173" s="319"/>
      <c r="M1173" s="321"/>
      <c r="N1173" s="55">
        <v>721</v>
      </c>
      <c r="O1173" s="56">
        <v>0</v>
      </c>
    </row>
    <row r="1174" spans="1:15" ht="16.5" thickBot="1" x14ac:dyDescent="0.3">
      <c r="A1174" s="297" t="s">
        <v>80</v>
      </c>
      <c r="B1174" s="298"/>
      <c r="C1174" s="298"/>
      <c r="D1174" s="298"/>
      <c r="E1174" s="299"/>
      <c r="F1174" s="62">
        <f>SUM(F1164:F1173)</f>
        <v>70000</v>
      </c>
      <c r="H1174" s="297" t="s">
        <v>80</v>
      </c>
      <c r="I1174" s="298"/>
      <c r="J1174" s="298"/>
      <c r="K1174" s="298"/>
      <c r="L1174" s="299"/>
      <c r="M1174" s="62">
        <f>SUM(M1164:M1173)</f>
        <v>4170000</v>
      </c>
    </row>
    <row r="1175" spans="1:15" ht="16.5" thickBot="1" x14ac:dyDescent="0.3">
      <c r="A1175" s="300" t="s">
        <v>81</v>
      </c>
      <c r="B1175" s="301"/>
      <c r="C1175" s="301"/>
      <c r="D1175" s="301"/>
      <c r="E1175" s="302"/>
      <c r="F1175" s="63" t="e">
        <f>+F1139</f>
        <v>#REF!</v>
      </c>
      <c r="H1175" s="300" t="s">
        <v>81</v>
      </c>
      <c r="I1175" s="301"/>
      <c r="J1175" s="301"/>
      <c r="K1175" s="301"/>
      <c r="L1175" s="302"/>
      <c r="M1175" s="63">
        <f>+M1139</f>
        <v>10055000</v>
      </c>
      <c r="N1175" s="64" t="s">
        <v>82</v>
      </c>
      <c r="O1175" s="65">
        <f>354+348+310+383+371+362+776</f>
        <v>2904</v>
      </c>
    </row>
    <row r="1176" spans="1:15" ht="16.5" thickBot="1" x14ac:dyDescent="0.3">
      <c r="A1176" s="303" t="s">
        <v>83</v>
      </c>
      <c r="B1176" s="304"/>
      <c r="C1176" s="304"/>
      <c r="D1176" s="304"/>
      <c r="E1176" s="305"/>
      <c r="F1176" s="66" t="e">
        <f>SUM(F1174:F1175)</f>
        <v>#REF!</v>
      </c>
      <c r="H1176" s="303" t="s">
        <v>83</v>
      </c>
      <c r="I1176" s="304"/>
      <c r="J1176" s="304"/>
      <c r="K1176" s="304"/>
      <c r="L1176" s="305"/>
      <c r="M1176" s="66">
        <f>SUM(M1174:M1175)</f>
        <v>14225000</v>
      </c>
    </row>
    <row r="1177" spans="1:15" ht="9.75" customHeight="1" x14ac:dyDescent="0.25">
      <c r="A1177" s="67"/>
      <c r="B1177" s="67"/>
      <c r="C1177" s="67"/>
      <c r="D1177" s="67"/>
      <c r="E1177" s="67"/>
      <c r="H1177" s="67"/>
      <c r="I1177" s="67"/>
      <c r="J1177" s="67"/>
      <c r="K1177" s="67"/>
      <c r="L1177" s="67"/>
    </row>
    <row r="1178" spans="1:15" x14ac:dyDescent="0.25">
      <c r="A1178" s="41" t="s">
        <v>601</v>
      </c>
      <c r="H1178" s="41" t="s">
        <v>602</v>
      </c>
    </row>
    <row r="1179" spans="1:15" ht="6.75" customHeight="1" x14ac:dyDescent="0.25">
      <c r="F1179" s="68"/>
      <c r="M1179" s="68"/>
    </row>
    <row r="1180" spans="1:15" x14ac:dyDescent="0.25">
      <c r="A1180" s="40" t="s">
        <v>86</v>
      </c>
      <c r="D1180" s="69"/>
      <c r="F1180" s="68"/>
      <c r="H1180" s="40" t="s">
        <v>86</v>
      </c>
      <c r="K1180" s="69"/>
      <c r="M1180" s="68"/>
    </row>
    <row r="1181" spans="1:15" ht="9.75" customHeight="1" thickBot="1" x14ac:dyDescent="0.3"/>
    <row r="1182" spans="1:15" ht="15.75" thickBot="1" x14ac:dyDescent="0.3">
      <c r="A1182" s="306" t="s">
        <v>87</v>
      </c>
      <c r="B1182" s="307"/>
      <c r="C1182" s="307"/>
      <c r="D1182" s="308"/>
      <c r="F1182" s="40" t="s">
        <v>89</v>
      </c>
      <c r="H1182" s="306" t="s">
        <v>87</v>
      </c>
      <c r="I1182" s="307"/>
      <c r="J1182" s="307"/>
      <c r="K1182" s="308"/>
      <c r="M1182" s="351" t="s">
        <v>89</v>
      </c>
      <c r="N1182" s="351"/>
      <c r="O1182" s="351"/>
    </row>
    <row r="1183" spans="1:15" ht="42" customHeight="1" thickBot="1" x14ac:dyDescent="0.3">
      <c r="A1183" s="70" t="s">
        <v>62</v>
      </c>
      <c r="B1183" s="71" t="s">
        <v>90</v>
      </c>
      <c r="C1183" s="72" t="s">
        <v>91</v>
      </c>
      <c r="D1183" s="73" t="s">
        <v>92</v>
      </c>
      <c r="H1183" s="70" t="s">
        <v>62</v>
      </c>
      <c r="I1183" s="71" t="s">
        <v>90</v>
      </c>
      <c r="J1183" s="74" t="s">
        <v>91</v>
      </c>
      <c r="K1183" s="73" t="s">
        <v>92</v>
      </c>
    </row>
    <row r="1184" spans="1:15" ht="13.5" customHeight="1" x14ac:dyDescent="0.25">
      <c r="A1184" s="75">
        <v>719</v>
      </c>
      <c r="B1184" s="76" t="e">
        <f>+#REF!+#REF!+#REF!+#REF!+#REF!</f>
        <v>#REF!</v>
      </c>
      <c r="C1184" s="77" t="e">
        <f>+D1147</f>
        <v>#REF!</v>
      </c>
      <c r="D1184" s="79" t="e">
        <f>+B1184+C1184</f>
        <v>#REF!</v>
      </c>
      <c r="H1184" s="75">
        <v>719</v>
      </c>
      <c r="I1184" s="76">
        <f>+O1164+O1166+O1168+O1170+O1172</f>
        <v>4170000</v>
      </c>
      <c r="J1184" s="77">
        <f>+K1147</f>
        <v>8550000</v>
      </c>
      <c r="K1184" s="79">
        <f>+I1184+J1184</f>
        <v>12720000</v>
      </c>
    </row>
    <row r="1185" spans="1:15" x14ac:dyDescent="0.25">
      <c r="A1185" s="80">
        <v>721</v>
      </c>
      <c r="B1185" s="81" t="e">
        <f>(+#REF!+#REF!+#REF!+#REF!+#REF!)</f>
        <v>#REF!</v>
      </c>
      <c r="C1185" s="77" t="e">
        <f>+D1148</f>
        <v>#REF!</v>
      </c>
      <c r="D1185" s="79" t="e">
        <f>+B1185+C1185</f>
        <v>#REF!</v>
      </c>
      <c r="H1185" s="80">
        <v>721</v>
      </c>
      <c r="I1185" s="81">
        <f>+O1165+O1169+O1171+O1173</f>
        <v>0</v>
      </c>
      <c r="J1185" s="77">
        <f>+K1148</f>
        <v>1505000</v>
      </c>
      <c r="K1185" s="79">
        <f>+I1185+J1185</f>
        <v>1505000</v>
      </c>
    </row>
    <row r="1186" spans="1:15" ht="13.5" hidden="1" customHeight="1" x14ac:dyDescent="0.25">
      <c r="A1186" s="80">
        <v>722</v>
      </c>
      <c r="B1186" s="81"/>
      <c r="C1186" s="77" t="e">
        <f>+D1149</f>
        <v>#REF!</v>
      </c>
      <c r="D1186" s="79" t="e">
        <f>+B1186+C1186</f>
        <v>#REF!</v>
      </c>
      <c r="H1186" s="80">
        <v>722</v>
      </c>
      <c r="I1186" s="81"/>
      <c r="J1186" s="77">
        <f>+K1149</f>
        <v>0</v>
      </c>
      <c r="K1186" s="79">
        <f>+I1186+J1186</f>
        <v>0</v>
      </c>
      <c r="M1186" s="343"/>
      <c r="N1186" s="343"/>
      <c r="O1186" s="343"/>
    </row>
    <row r="1187" spans="1:15" ht="16.5" thickBot="1" x14ac:dyDescent="0.3">
      <c r="A1187" s="80">
        <v>723</v>
      </c>
      <c r="B1187" s="81"/>
      <c r="C1187" s="77" t="e">
        <f>+D1150</f>
        <v>#REF!</v>
      </c>
      <c r="D1187" s="79" t="e">
        <f>+B1187+C1187</f>
        <v>#REF!</v>
      </c>
      <c r="F1187" s="83" t="s">
        <v>93</v>
      </c>
      <c r="G1187" s="84"/>
      <c r="H1187" s="80">
        <v>723</v>
      </c>
      <c r="I1187" s="81">
        <f>+O1167</f>
        <v>0</v>
      </c>
      <c r="J1187" s="77">
        <f>+K1150</f>
        <v>0</v>
      </c>
      <c r="K1187" s="79">
        <f>+I1187+J1187</f>
        <v>0</v>
      </c>
      <c r="M1187" s="109"/>
      <c r="N1187" s="84"/>
    </row>
    <row r="1188" spans="1:15" ht="14.25" hidden="1" customHeight="1" x14ac:dyDescent="0.25">
      <c r="A1188" s="85" t="s">
        <v>94</v>
      </c>
      <c r="B1188" s="86"/>
      <c r="C1188" s="77" t="e">
        <f>+D1151</f>
        <v>#REF!</v>
      </c>
      <c r="D1188" s="89" t="e">
        <f>+B1188+C1188</f>
        <v>#REF!</v>
      </c>
      <c r="F1188" s="45"/>
      <c r="H1188" s="85" t="s">
        <v>94</v>
      </c>
      <c r="I1188" s="86"/>
      <c r="J1188" s="77" t="e">
        <f>+K1151</f>
        <v>#REF!</v>
      </c>
      <c r="K1188" s="89" t="e">
        <f>+I1188+J1188</f>
        <v>#REF!</v>
      </c>
      <c r="M1188" s="45"/>
    </row>
    <row r="1189" spans="1:15" ht="16.5" thickBot="1" x14ac:dyDescent="0.3">
      <c r="A1189" s="90"/>
      <c r="B1189" s="91" t="e">
        <f>SUM(B1184:B1188)</f>
        <v>#REF!</v>
      </c>
      <c r="C1189" s="92" t="e">
        <f>SUM(C1184:C1188)</f>
        <v>#REF!</v>
      </c>
      <c r="D1189" s="93" t="e">
        <f>SUM(D1184:D1188)</f>
        <v>#REF!</v>
      </c>
      <c r="H1189" s="90"/>
      <c r="I1189" s="94">
        <f>SUM(I1184:I1188)</f>
        <v>4170000</v>
      </c>
      <c r="J1189" s="94" t="e">
        <f>SUM(J1184:J1188)</f>
        <v>#REF!</v>
      </c>
      <c r="K1189" s="95" t="e">
        <f>SUM(K1184:K1188)</f>
        <v>#REF!</v>
      </c>
    </row>
    <row r="1190" spans="1:15" ht="16.5" x14ac:dyDescent="0.25">
      <c r="A1190" s="39" t="s">
        <v>46</v>
      </c>
      <c r="B1190" s="40"/>
      <c r="H1190" s="39" t="s">
        <v>46</v>
      </c>
      <c r="I1190" s="40"/>
    </row>
    <row r="1191" spans="1:15" x14ac:dyDescent="0.25">
      <c r="A1191" s="41" t="s">
        <v>47</v>
      </c>
      <c r="H1191" s="41" t="s">
        <v>47</v>
      </c>
    </row>
    <row r="1192" spans="1:15" x14ac:dyDescent="0.25">
      <c r="A1192" s="41" t="s">
        <v>48</v>
      </c>
      <c r="H1192" s="41" t="s">
        <v>48</v>
      </c>
    </row>
    <row r="1193" spans="1:15" ht="14.25" customHeight="1" x14ac:dyDescent="0.25">
      <c r="A1193" s="41" t="s">
        <v>49</v>
      </c>
      <c r="H1193" s="41" t="s">
        <v>49</v>
      </c>
    </row>
    <row r="1194" spans="1:15" ht="6.75" customHeight="1" x14ac:dyDescent="0.25">
      <c r="A1194" s="40"/>
      <c r="B1194" s="40"/>
      <c r="H1194" s="40"/>
      <c r="I1194" s="40"/>
    </row>
    <row r="1195" spans="1:15" ht="16.5" x14ac:dyDescent="0.25">
      <c r="A1195" s="45" t="s">
        <v>603</v>
      </c>
      <c r="G1195" s="45"/>
      <c r="H1195" s="188" t="s">
        <v>604</v>
      </c>
      <c r="N1195" s="45"/>
    </row>
    <row r="1196" spans="1:15" ht="15.75" x14ac:dyDescent="0.25">
      <c r="A1196" s="47" t="s">
        <v>52</v>
      </c>
      <c r="G1196" s="47"/>
      <c r="H1196" s="47" t="s">
        <v>97</v>
      </c>
      <c r="N1196" s="47"/>
    </row>
    <row r="1197" spans="1:15" ht="16.5" x14ac:dyDescent="0.25">
      <c r="A1197" s="326" t="s">
        <v>201</v>
      </c>
      <c r="B1197" s="326"/>
      <c r="C1197" s="326"/>
      <c r="D1197" s="326"/>
      <c r="E1197" s="326"/>
      <c r="F1197" s="326"/>
      <c r="G1197" s="326"/>
      <c r="H1197" s="326" t="s">
        <v>201</v>
      </c>
      <c r="I1197" s="326"/>
      <c r="J1197" s="326"/>
      <c r="K1197" s="326"/>
      <c r="L1197" s="326"/>
      <c r="M1197" s="326"/>
      <c r="N1197" s="326"/>
      <c r="O1197" s="326"/>
    </row>
    <row r="1198" spans="1:15" ht="7.5" customHeight="1" thickBot="1" x14ac:dyDescent="0.3"/>
    <row r="1199" spans="1:15" x14ac:dyDescent="0.25">
      <c r="A1199" s="327" t="s">
        <v>56</v>
      </c>
      <c r="B1199" s="322" t="s">
        <v>57</v>
      </c>
      <c r="C1199" s="322" t="s">
        <v>58</v>
      </c>
      <c r="D1199" s="322" t="s">
        <v>7</v>
      </c>
      <c r="E1199" s="322" t="s">
        <v>59</v>
      </c>
      <c r="F1199" s="322" t="s">
        <v>60</v>
      </c>
      <c r="G1199" s="50" t="s">
        <v>61</v>
      </c>
      <c r="H1199" s="327" t="s">
        <v>56</v>
      </c>
      <c r="I1199" s="322" t="s">
        <v>57</v>
      </c>
      <c r="J1199" s="322" t="s">
        <v>58</v>
      </c>
      <c r="K1199" s="322" t="s">
        <v>7</v>
      </c>
      <c r="L1199" s="322" t="s">
        <v>59</v>
      </c>
      <c r="M1199" s="322" t="s">
        <v>60</v>
      </c>
      <c r="N1199" s="322" t="s">
        <v>61</v>
      </c>
      <c r="O1199" s="324"/>
    </row>
    <row r="1200" spans="1:15" ht="15.75" thickBot="1" x14ac:dyDescent="0.3">
      <c r="A1200" s="328"/>
      <c r="B1200" s="323"/>
      <c r="C1200" s="323"/>
      <c r="D1200" s="323"/>
      <c r="E1200" s="323"/>
      <c r="F1200" s="323"/>
      <c r="G1200" s="51" t="s">
        <v>62</v>
      </c>
      <c r="H1200" s="328"/>
      <c r="I1200" s="323"/>
      <c r="J1200" s="323"/>
      <c r="K1200" s="323"/>
      <c r="L1200" s="323"/>
      <c r="M1200" s="323"/>
      <c r="N1200" s="51" t="s">
        <v>62</v>
      </c>
      <c r="O1200" s="52" t="s">
        <v>63</v>
      </c>
    </row>
    <row r="1201" spans="1:15" ht="12.75" customHeight="1" x14ac:dyDescent="0.25">
      <c r="A1201" s="344" t="e">
        <f>+A1166+1</f>
        <v>#REF!</v>
      </c>
      <c r="B1201" s="312">
        <v>42360</v>
      </c>
      <c r="C1201" s="314" t="s">
        <v>64</v>
      </c>
      <c r="D1201" s="314" t="s">
        <v>605</v>
      </c>
      <c r="E1201" s="318" t="s">
        <v>66</v>
      </c>
      <c r="F1201" s="320">
        <v>70000</v>
      </c>
      <c r="G1201" s="53">
        <v>719</v>
      </c>
      <c r="H1201" s="310" t="s">
        <v>606</v>
      </c>
      <c r="I1201" s="312">
        <v>45824</v>
      </c>
      <c r="J1201" s="335" t="s">
        <v>607</v>
      </c>
      <c r="K1201" s="318" t="s">
        <v>196</v>
      </c>
      <c r="L1201" s="318" t="s">
        <v>5</v>
      </c>
      <c r="M1201" s="320">
        <v>625000</v>
      </c>
      <c r="N1201" s="53">
        <v>719</v>
      </c>
      <c r="O1201" s="54">
        <f>+M1201-O1202</f>
        <v>625000</v>
      </c>
    </row>
    <row r="1202" spans="1:15" ht="12.75" customHeight="1" thickBot="1" x14ac:dyDescent="0.3">
      <c r="A1202" s="345"/>
      <c r="B1202" s="313"/>
      <c r="C1202" s="315"/>
      <c r="D1202" s="315"/>
      <c r="E1202" s="319"/>
      <c r="F1202" s="321"/>
      <c r="G1202" s="55">
        <v>721</v>
      </c>
      <c r="H1202" s="311"/>
      <c r="I1202" s="313"/>
      <c r="J1202" s="336"/>
      <c r="K1202" s="319"/>
      <c r="L1202" s="319"/>
      <c r="M1202" s="321"/>
      <c r="N1202" s="55">
        <v>721</v>
      </c>
      <c r="O1202" s="56">
        <v>0</v>
      </c>
    </row>
    <row r="1203" spans="1:15" ht="12" customHeight="1" x14ac:dyDescent="0.25">
      <c r="A1203" s="344" t="e">
        <f>+A1201+1</f>
        <v>#REF!</v>
      </c>
      <c r="B1203" s="312">
        <v>42360</v>
      </c>
      <c r="C1203" s="314" t="s">
        <v>548</v>
      </c>
      <c r="D1203" s="314" t="s">
        <v>608</v>
      </c>
      <c r="E1203" s="318" t="s">
        <v>66</v>
      </c>
      <c r="F1203" s="320">
        <v>60000</v>
      </c>
      <c r="G1203" s="53">
        <v>719</v>
      </c>
      <c r="H1203" s="310" t="s">
        <v>609</v>
      </c>
      <c r="I1203" s="312">
        <v>45824</v>
      </c>
      <c r="J1203" s="335" t="s">
        <v>610</v>
      </c>
      <c r="K1203" s="318" t="s">
        <v>194</v>
      </c>
      <c r="L1203" s="318" t="s">
        <v>5</v>
      </c>
      <c r="M1203" s="320">
        <v>731300</v>
      </c>
      <c r="N1203" s="53">
        <v>719</v>
      </c>
      <c r="O1203" s="54">
        <f>+M1203-O1204</f>
        <v>731300</v>
      </c>
    </row>
    <row r="1204" spans="1:15" ht="12" customHeight="1" thickBot="1" x14ac:dyDescent="0.3">
      <c r="A1204" s="345"/>
      <c r="B1204" s="313"/>
      <c r="C1204" s="315"/>
      <c r="D1204" s="315"/>
      <c r="E1204" s="319"/>
      <c r="F1204" s="321"/>
      <c r="G1204" s="55">
        <v>721</v>
      </c>
      <c r="H1204" s="311"/>
      <c r="I1204" s="313"/>
      <c r="J1204" s="336"/>
      <c r="K1204" s="319"/>
      <c r="L1204" s="319"/>
      <c r="M1204" s="321"/>
      <c r="N1204" s="55">
        <v>721</v>
      </c>
      <c r="O1204" s="56">
        <v>0</v>
      </c>
    </row>
    <row r="1205" spans="1:15" ht="12" customHeight="1" x14ac:dyDescent="0.25">
      <c r="A1205" s="344" t="e">
        <f>+A1203+1</f>
        <v>#REF!</v>
      </c>
      <c r="B1205" s="312">
        <v>42360</v>
      </c>
      <c r="C1205" s="314" t="s">
        <v>106</v>
      </c>
      <c r="D1205" s="314" t="s">
        <v>611</v>
      </c>
      <c r="E1205" s="318" t="s">
        <v>66</v>
      </c>
      <c r="F1205" s="320">
        <v>50000</v>
      </c>
      <c r="G1205" s="53">
        <v>719</v>
      </c>
      <c r="H1205" s="310" t="s">
        <v>612</v>
      </c>
      <c r="I1205" s="312">
        <v>45824</v>
      </c>
      <c r="J1205" s="335" t="s">
        <v>613</v>
      </c>
      <c r="K1205" s="318" t="s">
        <v>584</v>
      </c>
      <c r="L1205" s="318" t="s">
        <v>5</v>
      </c>
      <c r="M1205" s="320">
        <v>427700</v>
      </c>
      <c r="N1205" s="53">
        <v>719</v>
      </c>
      <c r="O1205" s="54">
        <f>+M1205</f>
        <v>427700</v>
      </c>
    </row>
    <row r="1206" spans="1:15" ht="10.5" customHeight="1" thickBot="1" x14ac:dyDescent="0.3">
      <c r="A1206" s="345"/>
      <c r="B1206" s="313"/>
      <c r="C1206" s="315"/>
      <c r="D1206" s="315"/>
      <c r="E1206" s="319"/>
      <c r="F1206" s="321"/>
      <c r="G1206" s="55">
        <v>721</v>
      </c>
      <c r="H1206" s="311"/>
      <c r="I1206" s="313"/>
      <c r="J1206" s="336"/>
      <c r="K1206" s="319"/>
      <c r="L1206" s="319"/>
      <c r="M1206" s="321"/>
      <c r="N1206" s="55">
        <v>721</v>
      </c>
      <c r="O1206" s="56">
        <v>0</v>
      </c>
    </row>
    <row r="1207" spans="1:15" ht="13.5" customHeight="1" x14ac:dyDescent="0.25">
      <c r="A1207" s="203"/>
      <c r="B1207" s="58"/>
      <c r="C1207" s="103"/>
      <c r="D1207" s="57"/>
      <c r="E1207" s="57"/>
      <c r="F1207" s="60"/>
      <c r="G1207" s="61"/>
      <c r="H1207" s="310" t="s">
        <v>614</v>
      </c>
      <c r="I1207" s="312">
        <v>45824</v>
      </c>
      <c r="J1207" s="335" t="s">
        <v>615</v>
      </c>
      <c r="K1207" s="318" t="s">
        <v>564</v>
      </c>
      <c r="L1207" s="318" t="s">
        <v>5</v>
      </c>
      <c r="M1207" s="320">
        <v>415500</v>
      </c>
      <c r="N1207" s="53">
        <v>719</v>
      </c>
      <c r="O1207" s="54">
        <f>+M1207</f>
        <v>415500</v>
      </c>
    </row>
    <row r="1208" spans="1:15" ht="15" customHeight="1" thickBot="1" x14ac:dyDescent="0.3">
      <c r="A1208" s="203"/>
      <c r="B1208" s="58"/>
      <c r="C1208" s="103"/>
      <c r="D1208" s="57"/>
      <c r="E1208" s="57"/>
      <c r="F1208" s="60"/>
      <c r="G1208" s="61"/>
      <c r="H1208" s="311"/>
      <c r="I1208" s="313"/>
      <c r="J1208" s="336"/>
      <c r="K1208" s="319"/>
      <c r="L1208" s="319"/>
      <c r="M1208" s="321"/>
      <c r="N1208" s="55">
        <v>721</v>
      </c>
      <c r="O1208" s="56">
        <v>0</v>
      </c>
    </row>
    <row r="1209" spans="1:15" ht="12" customHeight="1" x14ac:dyDescent="0.25">
      <c r="A1209" s="318"/>
      <c r="B1209" s="312"/>
      <c r="C1209" s="314"/>
      <c r="D1209" s="318"/>
      <c r="E1209" s="318"/>
      <c r="F1209" s="320"/>
      <c r="G1209" s="53">
        <v>719</v>
      </c>
      <c r="H1209" s="310" t="s">
        <v>616</v>
      </c>
      <c r="I1209" s="312">
        <v>45824</v>
      </c>
      <c r="J1209" s="335" t="s">
        <v>617</v>
      </c>
      <c r="K1209" s="318" t="s">
        <v>547</v>
      </c>
      <c r="L1209" s="318" t="s">
        <v>5</v>
      </c>
      <c r="M1209" s="320">
        <v>633000</v>
      </c>
      <c r="N1209" s="53">
        <v>719</v>
      </c>
      <c r="O1209" s="54">
        <f>+M1209</f>
        <v>633000</v>
      </c>
    </row>
    <row r="1210" spans="1:15" ht="12" customHeight="1" thickBot="1" x14ac:dyDescent="0.3">
      <c r="A1210" s="319"/>
      <c r="B1210" s="313"/>
      <c r="C1210" s="315"/>
      <c r="D1210" s="319"/>
      <c r="E1210" s="319"/>
      <c r="F1210" s="321"/>
      <c r="G1210" s="55">
        <v>721</v>
      </c>
      <c r="H1210" s="311"/>
      <c r="I1210" s="313"/>
      <c r="J1210" s="336"/>
      <c r="K1210" s="319"/>
      <c r="L1210" s="319"/>
      <c r="M1210" s="321"/>
      <c r="N1210" s="55">
        <v>721</v>
      </c>
      <c r="O1210" s="56">
        <v>0</v>
      </c>
    </row>
    <row r="1211" spans="1:15" ht="15" customHeight="1" thickBot="1" x14ac:dyDescent="0.3">
      <c r="A1211" s="297" t="s">
        <v>80</v>
      </c>
      <c r="B1211" s="298"/>
      <c r="C1211" s="298"/>
      <c r="D1211" s="298"/>
      <c r="E1211" s="299"/>
      <c r="F1211" s="62">
        <f>SUM(F1201:F1210)</f>
        <v>180000</v>
      </c>
      <c r="H1211" s="297" t="s">
        <v>80</v>
      </c>
      <c r="I1211" s="298"/>
      <c r="J1211" s="298"/>
      <c r="K1211" s="298"/>
      <c r="L1211" s="299"/>
      <c r="M1211" s="62">
        <f>SUM(M1201:M1210)</f>
        <v>2832500</v>
      </c>
    </row>
    <row r="1212" spans="1:15" ht="16.5" thickBot="1" x14ac:dyDescent="0.3">
      <c r="A1212" s="300" t="s">
        <v>81</v>
      </c>
      <c r="B1212" s="301"/>
      <c r="C1212" s="301"/>
      <c r="D1212" s="301"/>
      <c r="E1212" s="302"/>
      <c r="F1212" s="63" t="e">
        <f>+F1176</f>
        <v>#REF!</v>
      </c>
      <c r="H1212" s="300" t="s">
        <v>81</v>
      </c>
      <c r="I1212" s="301"/>
      <c r="J1212" s="301"/>
      <c r="K1212" s="301"/>
      <c r="L1212" s="302"/>
      <c r="M1212" s="63">
        <f>+M1176</f>
        <v>14225000</v>
      </c>
      <c r="N1212" s="64" t="s">
        <v>82</v>
      </c>
      <c r="O1212" s="65"/>
    </row>
    <row r="1213" spans="1:15" ht="16.5" thickBot="1" x14ac:dyDescent="0.3">
      <c r="A1213" s="303" t="s">
        <v>83</v>
      </c>
      <c r="B1213" s="304"/>
      <c r="C1213" s="304"/>
      <c r="D1213" s="304"/>
      <c r="E1213" s="305"/>
      <c r="F1213" s="66" t="e">
        <f>SUM(F1211:F1212)</f>
        <v>#REF!</v>
      </c>
      <c r="H1213" s="303" t="s">
        <v>83</v>
      </c>
      <c r="I1213" s="304"/>
      <c r="J1213" s="304"/>
      <c r="K1213" s="304"/>
      <c r="L1213" s="305"/>
      <c r="M1213" s="66">
        <f>SUM(M1211:M1212)</f>
        <v>17057500</v>
      </c>
    </row>
    <row r="1214" spans="1:15" ht="10.5" customHeight="1" x14ac:dyDescent="0.25">
      <c r="A1214" s="67"/>
      <c r="B1214" s="67"/>
      <c r="C1214" s="67"/>
      <c r="D1214" s="67"/>
      <c r="E1214" s="67"/>
      <c r="H1214" s="67"/>
      <c r="I1214" s="67"/>
      <c r="J1214" s="67"/>
      <c r="K1214" s="67"/>
      <c r="L1214" s="67"/>
    </row>
    <row r="1215" spans="1:15" x14ac:dyDescent="0.25">
      <c r="A1215" s="41" t="s">
        <v>618</v>
      </c>
      <c r="H1215" s="41" t="s">
        <v>619</v>
      </c>
    </row>
    <row r="1216" spans="1:15" ht="5.25" customHeight="1" x14ac:dyDescent="0.25">
      <c r="F1216" s="68"/>
      <c r="M1216" s="68"/>
    </row>
    <row r="1217" spans="1:15" x14ac:dyDescent="0.25">
      <c r="A1217" s="40" t="s">
        <v>86</v>
      </c>
      <c r="D1217" s="69"/>
      <c r="F1217" s="68"/>
      <c r="H1217" s="40" t="s">
        <v>86</v>
      </c>
      <c r="K1217" s="69"/>
      <c r="M1217" s="68"/>
    </row>
    <row r="1218" spans="1:15" ht="9.75" customHeight="1" thickBot="1" x14ac:dyDescent="0.3"/>
    <row r="1219" spans="1:15" ht="17.25" thickBot="1" x14ac:dyDescent="0.35">
      <c r="A1219" s="306" t="s">
        <v>87</v>
      </c>
      <c r="B1219" s="307"/>
      <c r="C1219" s="307"/>
      <c r="D1219" s="308"/>
      <c r="F1219" s="40" t="s">
        <v>89</v>
      </c>
      <c r="H1219" s="306" t="s">
        <v>87</v>
      </c>
      <c r="I1219" s="307"/>
      <c r="J1219" s="307"/>
      <c r="K1219" s="308"/>
      <c r="M1219" s="350" t="s">
        <v>89</v>
      </c>
      <c r="N1219" s="350"/>
      <c r="O1219" s="350"/>
    </row>
    <row r="1220" spans="1:15" ht="30.75" thickBot="1" x14ac:dyDescent="0.3">
      <c r="A1220" s="70" t="s">
        <v>62</v>
      </c>
      <c r="B1220" s="71" t="s">
        <v>90</v>
      </c>
      <c r="C1220" s="72" t="s">
        <v>91</v>
      </c>
      <c r="D1220" s="73" t="s">
        <v>92</v>
      </c>
      <c r="H1220" s="70" t="s">
        <v>62</v>
      </c>
      <c r="I1220" s="71" t="s">
        <v>90</v>
      </c>
      <c r="J1220" s="72" t="s">
        <v>91</v>
      </c>
      <c r="K1220" s="73" t="s">
        <v>92</v>
      </c>
    </row>
    <row r="1221" spans="1:15" ht="14.25" customHeight="1" x14ac:dyDescent="0.25">
      <c r="A1221" s="75">
        <v>719</v>
      </c>
      <c r="B1221" s="76" t="e">
        <f>+#REF!+#REF!+#REF!+#REF!+#REF!</f>
        <v>#REF!</v>
      </c>
      <c r="C1221" s="77" t="e">
        <f>+D1184</f>
        <v>#REF!</v>
      </c>
      <c r="D1221" s="79" t="e">
        <f>+B1221+C1221</f>
        <v>#REF!</v>
      </c>
      <c r="H1221" s="75">
        <v>719</v>
      </c>
      <c r="I1221" s="76">
        <v>0</v>
      </c>
      <c r="J1221" s="77">
        <f>+K1184</f>
        <v>12720000</v>
      </c>
      <c r="K1221" s="79">
        <f>+I1221+J1221</f>
        <v>12720000</v>
      </c>
    </row>
    <row r="1222" spans="1:15" ht="13.5" customHeight="1" x14ac:dyDescent="0.25">
      <c r="A1222" s="80">
        <v>721</v>
      </c>
      <c r="B1222" s="81" t="e">
        <f>(+#REF!+#REF!+#REF!+#REF!+#REF!)</f>
        <v>#REF!</v>
      </c>
      <c r="C1222" s="77" t="e">
        <f>+D1185</f>
        <v>#REF!</v>
      </c>
      <c r="D1222" s="79" t="e">
        <f>+B1222+C1222</f>
        <v>#REF!</v>
      </c>
      <c r="H1222" s="80">
        <v>721</v>
      </c>
      <c r="I1222" s="81">
        <v>0</v>
      </c>
      <c r="J1222" s="77">
        <f>+K1185</f>
        <v>1505000</v>
      </c>
      <c r="K1222" s="79">
        <f>+I1222+J1222</f>
        <v>1505000</v>
      </c>
    </row>
    <row r="1223" spans="1:15" ht="12.75" hidden="1" customHeight="1" x14ac:dyDescent="0.25">
      <c r="A1223" s="80">
        <v>722</v>
      </c>
      <c r="B1223" s="81"/>
      <c r="C1223" s="77" t="e">
        <f>+D1186</f>
        <v>#REF!</v>
      </c>
      <c r="D1223" s="79" t="e">
        <f>+B1223+C1223</f>
        <v>#REF!</v>
      </c>
      <c r="H1223" s="80">
        <v>722</v>
      </c>
      <c r="I1223" s="81"/>
      <c r="J1223" s="77">
        <f>+K1186</f>
        <v>0</v>
      </c>
      <c r="K1223" s="79">
        <f>+I1223+J1223</f>
        <v>0</v>
      </c>
    </row>
    <row r="1224" spans="1:15" ht="14.25" customHeight="1" thickBot="1" x14ac:dyDescent="0.3">
      <c r="A1224" s="80">
        <v>723</v>
      </c>
      <c r="B1224" s="81"/>
      <c r="C1224" s="77" t="e">
        <f>+D1187</f>
        <v>#REF!</v>
      </c>
      <c r="D1224" s="79" t="e">
        <f>+B1224+C1224</f>
        <v>#REF!</v>
      </c>
      <c r="F1224" s="83" t="s">
        <v>93</v>
      </c>
      <c r="G1224" s="84"/>
      <c r="H1224" s="80">
        <v>723</v>
      </c>
      <c r="I1224" s="81">
        <f>+M1211</f>
        <v>2832500</v>
      </c>
      <c r="J1224" s="77">
        <f>+K1187</f>
        <v>0</v>
      </c>
      <c r="K1224" s="79">
        <f>+I1224+J1224</f>
        <v>2832500</v>
      </c>
      <c r="M1224" s="343"/>
      <c r="N1224" s="343"/>
      <c r="O1224" s="343"/>
    </row>
    <row r="1225" spans="1:15" ht="14.25" hidden="1" customHeight="1" x14ac:dyDescent="0.25">
      <c r="A1225" s="85" t="s">
        <v>94</v>
      </c>
      <c r="B1225" s="86"/>
      <c r="C1225" s="77" t="e">
        <f>+D1188</f>
        <v>#REF!</v>
      </c>
      <c r="D1225" s="89" t="e">
        <f>+B1225+C1225</f>
        <v>#REF!</v>
      </c>
      <c r="F1225" s="45"/>
      <c r="H1225" s="85" t="s">
        <v>94</v>
      </c>
      <c r="I1225" s="86"/>
      <c r="J1225" s="77" t="e">
        <f>+K1188</f>
        <v>#REF!</v>
      </c>
      <c r="K1225" s="89" t="e">
        <f>+I1225+J1225</f>
        <v>#REF!</v>
      </c>
      <c r="M1225" s="45"/>
    </row>
    <row r="1226" spans="1:15" ht="15" customHeight="1" thickBot="1" x14ac:dyDescent="0.3">
      <c r="A1226" s="90"/>
      <c r="B1226" s="91" t="e">
        <f>SUM(B1221:B1225)</f>
        <v>#REF!</v>
      </c>
      <c r="C1226" s="92" t="e">
        <f>SUM(C1221:C1225)</f>
        <v>#REF!</v>
      </c>
      <c r="D1226" s="93" t="e">
        <f>SUM(D1221:D1225)</f>
        <v>#REF!</v>
      </c>
      <c r="H1226" s="90"/>
      <c r="I1226" s="94">
        <f>SUM(I1221:I1225)</f>
        <v>2832500</v>
      </c>
      <c r="J1226" s="94" t="e">
        <f>SUM(J1221:J1225)</f>
        <v>#REF!</v>
      </c>
      <c r="K1226" s="95" t="e">
        <f>SUM(K1221:K1225)</f>
        <v>#REF!</v>
      </c>
    </row>
    <row r="1227" spans="1:15" ht="16.5" x14ac:dyDescent="0.25">
      <c r="A1227" s="39" t="s">
        <v>46</v>
      </c>
      <c r="B1227" s="40"/>
      <c r="H1227" s="39" t="s">
        <v>46</v>
      </c>
      <c r="I1227" s="40"/>
    </row>
    <row r="1228" spans="1:15" x14ac:dyDescent="0.25">
      <c r="A1228" s="41" t="s">
        <v>47</v>
      </c>
      <c r="H1228" s="41" t="s">
        <v>47</v>
      </c>
    </row>
    <row r="1229" spans="1:15" x14ac:dyDescent="0.25">
      <c r="A1229" s="41" t="s">
        <v>48</v>
      </c>
      <c r="H1229" s="41" t="s">
        <v>48</v>
      </c>
    </row>
    <row r="1230" spans="1:15" x14ac:dyDescent="0.25">
      <c r="A1230" s="41" t="s">
        <v>49</v>
      </c>
      <c r="H1230" s="41" t="s">
        <v>49</v>
      </c>
    </row>
    <row r="1231" spans="1:15" ht="12" customHeight="1" x14ac:dyDescent="0.25">
      <c r="A1231" s="40"/>
      <c r="B1231" s="40"/>
      <c r="H1231" s="40"/>
      <c r="I1231" s="40"/>
    </row>
    <row r="1232" spans="1:15" ht="16.5" x14ac:dyDescent="0.25">
      <c r="A1232" s="45" t="s">
        <v>620</v>
      </c>
      <c r="G1232" s="45"/>
      <c r="H1232" s="188" t="s">
        <v>621</v>
      </c>
      <c r="N1232" s="45"/>
    </row>
    <row r="1233" spans="1:15" ht="15.75" x14ac:dyDescent="0.25">
      <c r="A1233" s="47" t="s">
        <v>52</v>
      </c>
      <c r="G1233" s="47"/>
      <c r="H1233" s="47" t="s">
        <v>622</v>
      </c>
      <c r="N1233" s="47"/>
    </row>
    <row r="1234" spans="1:15" ht="16.5" x14ac:dyDescent="0.25">
      <c r="A1234" s="326" t="s">
        <v>201</v>
      </c>
      <c r="B1234" s="326"/>
      <c r="C1234" s="326"/>
      <c r="D1234" s="326"/>
      <c r="E1234" s="326"/>
      <c r="F1234" s="326"/>
      <c r="G1234" s="326"/>
      <c r="H1234" s="326" t="s">
        <v>623</v>
      </c>
      <c r="I1234" s="326"/>
      <c r="J1234" s="326"/>
      <c r="K1234" s="326"/>
      <c r="L1234" s="326"/>
      <c r="M1234" s="326"/>
      <c r="N1234" s="326"/>
      <c r="O1234" s="326"/>
    </row>
    <row r="1235" spans="1:15" ht="15.75" thickBot="1" x14ac:dyDescent="0.3"/>
    <row r="1236" spans="1:15" x14ac:dyDescent="0.25">
      <c r="A1236" s="327" t="s">
        <v>56</v>
      </c>
      <c r="B1236" s="322" t="s">
        <v>57</v>
      </c>
      <c r="C1236" s="322" t="s">
        <v>58</v>
      </c>
      <c r="D1236" s="322" t="s">
        <v>7</v>
      </c>
      <c r="E1236" s="322" t="s">
        <v>59</v>
      </c>
      <c r="F1236" s="322" t="s">
        <v>60</v>
      </c>
      <c r="G1236" s="50" t="s">
        <v>61</v>
      </c>
      <c r="H1236" s="327" t="s">
        <v>56</v>
      </c>
      <c r="I1236" s="322" t="s">
        <v>57</v>
      </c>
      <c r="J1236" s="322" t="s">
        <v>58</v>
      </c>
      <c r="K1236" s="322" t="s">
        <v>7</v>
      </c>
      <c r="L1236" s="322" t="s">
        <v>59</v>
      </c>
      <c r="M1236" s="322" t="s">
        <v>60</v>
      </c>
      <c r="N1236" s="322" t="s">
        <v>61</v>
      </c>
      <c r="O1236" s="324"/>
    </row>
    <row r="1237" spans="1:15" ht="15.75" thickBot="1" x14ac:dyDescent="0.3">
      <c r="A1237" s="328"/>
      <c r="B1237" s="323"/>
      <c r="C1237" s="323"/>
      <c r="D1237" s="323"/>
      <c r="E1237" s="323"/>
      <c r="F1237" s="323"/>
      <c r="G1237" s="51" t="s">
        <v>62</v>
      </c>
      <c r="H1237" s="328"/>
      <c r="I1237" s="323"/>
      <c r="J1237" s="323"/>
      <c r="K1237" s="323"/>
      <c r="L1237" s="323"/>
      <c r="M1237" s="323"/>
      <c r="N1237" s="51" t="s">
        <v>62</v>
      </c>
      <c r="O1237" s="52" t="s">
        <v>63</v>
      </c>
    </row>
    <row r="1238" spans="1:15" ht="12" customHeight="1" x14ac:dyDescent="0.25">
      <c r="A1238" s="344" t="e">
        <f>+A1205+1</f>
        <v>#REF!</v>
      </c>
      <c r="B1238" s="312">
        <v>42361</v>
      </c>
      <c r="C1238" s="314" t="s">
        <v>221</v>
      </c>
      <c r="D1238" s="314" t="s">
        <v>624</v>
      </c>
      <c r="E1238" s="318" t="s">
        <v>5</v>
      </c>
      <c r="F1238" s="320">
        <v>126000</v>
      </c>
      <c r="G1238" s="53">
        <v>719</v>
      </c>
      <c r="H1238" s="310" t="s">
        <v>625</v>
      </c>
      <c r="I1238" s="312">
        <v>43062</v>
      </c>
      <c r="J1238" s="318" t="s">
        <v>70</v>
      </c>
      <c r="K1238" s="316" t="s">
        <v>626</v>
      </c>
      <c r="L1238" s="318" t="s">
        <v>66</v>
      </c>
      <c r="M1238" s="320">
        <v>50000</v>
      </c>
      <c r="N1238" s="53">
        <v>719</v>
      </c>
      <c r="O1238" s="54">
        <f>+M1238</f>
        <v>50000</v>
      </c>
    </row>
    <row r="1239" spans="1:15" ht="14.25" customHeight="1" thickBot="1" x14ac:dyDescent="0.3">
      <c r="A1239" s="345"/>
      <c r="B1239" s="313"/>
      <c r="C1239" s="315"/>
      <c r="D1239" s="315"/>
      <c r="E1239" s="319"/>
      <c r="F1239" s="321"/>
      <c r="G1239" s="55">
        <v>721</v>
      </c>
      <c r="H1239" s="311"/>
      <c r="I1239" s="313"/>
      <c r="J1239" s="319"/>
      <c r="K1239" s="317"/>
      <c r="L1239" s="319"/>
      <c r="M1239" s="321"/>
      <c r="N1239" s="55">
        <v>721</v>
      </c>
      <c r="O1239" s="56"/>
    </row>
    <row r="1240" spans="1:15" ht="15" customHeight="1" x14ac:dyDescent="0.25">
      <c r="A1240" s="344" t="e">
        <f>+A1238+1</f>
        <v>#REF!</v>
      </c>
      <c r="B1240" s="312">
        <v>42361</v>
      </c>
      <c r="C1240" s="318" t="s">
        <v>70</v>
      </c>
      <c r="D1240" s="314" t="s">
        <v>627</v>
      </c>
      <c r="E1240" s="318" t="s">
        <v>5</v>
      </c>
      <c r="F1240" s="320">
        <v>196000</v>
      </c>
      <c r="G1240" s="53">
        <v>719</v>
      </c>
      <c r="H1240" s="310" t="s">
        <v>628</v>
      </c>
      <c r="I1240" s="312">
        <v>43062</v>
      </c>
      <c r="J1240" s="318" t="s">
        <v>251</v>
      </c>
      <c r="K1240" s="316" t="s">
        <v>629</v>
      </c>
      <c r="L1240" s="318" t="s">
        <v>66</v>
      </c>
      <c r="M1240" s="320">
        <v>190000</v>
      </c>
      <c r="N1240" s="53">
        <v>719</v>
      </c>
      <c r="O1240" s="54">
        <f>+M1240</f>
        <v>190000</v>
      </c>
    </row>
    <row r="1241" spans="1:15" ht="13.5" customHeight="1" thickBot="1" x14ac:dyDescent="0.3">
      <c r="A1241" s="345"/>
      <c r="B1241" s="313"/>
      <c r="C1241" s="319"/>
      <c r="D1241" s="315"/>
      <c r="E1241" s="319"/>
      <c r="F1241" s="321"/>
      <c r="G1241" s="55">
        <v>721</v>
      </c>
      <c r="H1241" s="319"/>
      <c r="I1241" s="313"/>
      <c r="J1241" s="319"/>
      <c r="K1241" s="317"/>
      <c r="L1241" s="319"/>
      <c r="M1241" s="321"/>
      <c r="N1241" s="55">
        <v>721</v>
      </c>
      <c r="O1241" s="56"/>
    </row>
    <row r="1242" spans="1:15" ht="12.75" customHeight="1" x14ac:dyDescent="0.25">
      <c r="A1242" s="344" t="e">
        <f>+A1240+1</f>
        <v>#REF!</v>
      </c>
      <c r="B1242" s="312">
        <v>42361</v>
      </c>
      <c r="C1242" s="314" t="s">
        <v>106</v>
      </c>
      <c r="D1242" s="314" t="s">
        <v>627</v>
      </c>
      <c r="E1242" s="318" t="s">
        <v>5</v>
      </c>
      <c r="F1242" s="320">
        <v>42000</v>
      </c>
      <c r="G1242" s="53">
        <v>719</v>
      </c>
      <c r="H1242" s="310" t="s">
        <v>630</v>
      </c>
      <c r="I1242" s="312">
        <v>43062</v>
      </c>
      <c r="J1242" s="314" t="s">
        <v>631</v>
      </c>
      <c r="K1242" s="316" t="s">
        <v>632</v>
      </c>
      <c r="L1242" s="318" t="s">
        <v>66</v>
      </c>
      <c r="M1242" s="320">
        <v>3980000</v>
      </c>
      <c r="N1242" s="53">
        <v>719</v>
      </c>
      <c r="O1242" s="54"/>
    </row>
    <row r="1243" spans="1:15" ht="15.75" customHeight="1" thickBot="1" x14ac:dyDescent="0.3">
      <c r="A1243" s="345"/>
      <c r="B1243" s="313"/>
      <c r="C1243" s="315"/>
      <c r="D1243" s="315"/>
      <c r="E1243" s="319"/>
      <c r="F1243" s="321"/>
      <c r="G1243" s="55">
        <v>721</v>
      </c>
      <c r="H1243" s="319"/>
      <c r="I1243" s="313"/>
      <c r="J1243" s="315"/>
      <c r="K1243" s="317"/>
      <c r="L1243" s="319"/>
      <c r="M1243" s="321"/>
      <c r="N1243" s="55">
        <v>723</v>
      </c>
      <c r="O1243" s="56">
        <f>+M1242</f>
        <v>3980000</v>
      </c>
    </row>
    <row r="1244" spans="1:15" ht="12" customHeight="1" x14ac:dyDescent="0.25">
      <c r="A1244" s="344" t="e">
        <f>+A1242+1</f>
        <v>#REF!</v>
      </c>
      <c r="B1244" s="312">
        <v>42361</v>
      </c>
      <c r="C1244" s="314" t="s">
        <v>231</v>
      </c>
      <c r="D1244" s="314" t="s">
        <v>624</v>
      </c>
      <c r="E1244" s="318" t="s">
        <v>5</v>
      </c>
      <c r="F1244" s="320">
        <v>112000</v>
      </c>
      <c r="G1244" s="53">
        <v>719</v>
      </c>
      <c r="H1244" s="310" t="s">
        <v>633</v>
      </c>
      <c r="I1244" s="312">
        <v>43062</v>
      </c>
      <c r="J1244" s="318" t="s">
        <v>634</v>
      </c>
      <c r="K1244" s="316" t="s">
        <v>635</v>
      </c>
      <c r="L1244" s="318" t="s">
        <v>5</v>
      </c>
      <c r="M1244" s="320">
        <v>22479749</v>
      </c>
      <c r="N1244" s="53">
        <v>719</v>
      </c>
      <c r="O1244" s="54"/>
    </row>
    <row r="1245" spans="1:15" ht="14.25" customHeight="1" thickBot="1" x14ac:dyDescent="0.3">
      <c r="A1245" s="345"/>
      <c r="B1245" s="313"/>
      <c r="C1245" s="315"/>
      <c r="D1245" s="315"/>
      <c r="E1245" s="319"/>
      <c r="F1245" s="321"/>
      <c r="G1245" s="55">
        <v>721</v>
      </c>
      <c r="H1245" s="319"/>
      <c r="I1245" s="313"/>
      <c r="J1245" s="319"/>
      <c r="K1245" s="317"/>
      <c r="L1245" s="319"/>
      <c r="M1245" s="321"/>
      <c r="N1245" s="55">
        <v>721</v>
      </c>
      <c r="O1245" s="56">
        <f>+M1244</f>
        <v>22479749</v>
      </c>
    </row>
    <row r="1246" spans="1:15" ht="12" customHeight="1" x14ac:dyDescent="0.25">
      <c r="A1246" s="344" t="e">
        <f>+A1244+1</f>
        <v>#REF!</v>
      </c>
      <c r="B1246" s="312">
        <v>42361</v>
      </c>
      <c r="C1246" s="314" t="s">
        <v>297</v>
      </c>
      <c r="D1246" s="314" t="s">
        <v>627</v>
      </c>
      <c r="E1246" s="318" t="s">
        <v>5</v>
      </c>
      <c r="F1246" s="320">
        <v>588000</v>
      </c>
      <c r="G1246" s="53">
        <v>719</v>
      </c>
      <c r="H1246" s="310" t="s">
        <v>636</v>
      </c>
      <c r="I1246" s="312">
        <v>43062</v>
      </c>
      <c r="J1246" s="318" t="s">
        <v>634</v>
      </c>
      <c r="K1246" s="316" t="s">
        <v>637</v>
      </c>
      <c r="L1246" s="318" t="s">
        <v>5</v>
      </c>
      <c r="M1246" s="320">
        <v>55554732</v>
      </c>
      <c r="N1246" s="53">
        <v>719</v>
      </c>
      <c r="O1246" s="54"/>
    </row>
    <row r="1247" spans="1:15" ht="13.5" customHeight="1" thickBot="1" x14ac:dyDescent="0.3">
      <c r="A1247" s="345"/>
      <c r="B1247" s="313"/>
      <c r="C1247" s="315"/>
      <c r="D1247" s="315"/>
      <c r="E1247" s="319"/>
      <c r="F1247" s="321"/>
      <c r="G1247" s="55">
        <v>721</v>
      </c>
      <c r="H1247" s="319"/>
      <c r="I1247" s="313"/>
      <c r="J1247" s="319"/>
      <c r="K1247" s="317"/>
      <c r="L1247" s="319"/>
      <c r="M1247" s="321"/>
      <c r="N1247" s="55">
        <v>721</v>
      </c>
      <c r="O1247" s="56">
        <f>+M1246-O1246</f>
        <v>55554732</v>
      </c>
    </row>
    <row r="1248" spans="1:15" ht="16.5" thickBot="1" x14ac:dyDescent="0.3">
      <c r="A1248" s="297" t="s">
        <v>80</v>
      </c>
      <c r="B1248" s="298"/>
      <c r="C1248" s="298"/>
      <c r="D1248" s="298"/>
      <c r="E1248" s="299"/>
      <c r="F1248" s="62">
        <f>SUM(F1238:F1247)</f>
        <v>1064000</v>
      </c>
      <c r="H1248" s="297" t="s">
        <v>80</v>
      </c>
      <c r="I1248" s="298"/>
      <c r="J1248" s="298"/>
      <c r="K1248" s="298"/>
      <c r="L1248" s="299"/>
      <c r="M1248" s="62">
        <f>SUM(M1238:M1247)</f>
        <v>82254481</v>
      </c>
    </row>
    <row r="1249" spans="1:15" ht="16.5" thickBot="1" x14ac:dyDescent="0.3">
      <c r="A1249" s="300" t="s">
        <v>81</v>
      </c>
      <c r="B1249" s="301"/>
      <c r="C1249" s="301"/>
      <c r="D1249" s="301"/>
      <c r="E1249" s="302"/>
      <c r="F1249" s="63" t="e">
        <f>+F1213</f>
        <v>#REF!</v>
      </c>
      <c r="H1249" s="300" t="s">
        <v>81</v>
      </c>
      <c r="I1249" s="301"/>
      <c r="J1249" s="301"/>
      <c r="K1249" s="301"/>
      <c r="L1249" s="302"/>
      <c r="M1249" s="63">
        <f>+M1213</f>
        <v>17057500</v>
      </c>
      <c r="N1249" s="64" t="s">
        <v>82</v>
      </c>
      <c r="O1249" s="65"/>
    </row>
    <row r="1250" spans="1:15" ht="16.5" thickBot="1" x14ac:dyDescent="0.3">
      <c r="A1250" s="303" t="s">
        <v>83</v>
      </c>
      <c r="B1250" s="304"/>
      <c r="C1250" s="304"/>
      <c r="D1250" s="304"/>
      <c r="E1250" s="305"/>
      <c r="F1250" s="66" t="e">
        <f>SUM(F1248:F1249)</f>
        <v>#REF!</v>
      </c>
      <c r="H1250" s="303" t="s">
        <v>83</v>
      </c>
      <c r="I1250" s="304"/>
      <c r="J1250" s="304"/>
      <c r="K1250" s="304"/>
      <c r="L1250" s="305"/>
      <c r="M1250" s="66">
        <f>SUM(M1248:M1249)</f>
        <v>99311981</v>
      </c>
    </row>
    <row r="1251" spans="1:15" x14ac:dyDescent="0.25">
      <c r="A1251" s="67"/>
      <c r="B1251" s="67"/>
      <c r="C1251" s="67"/>
      <c r="D1251" s="67"/>
      <c r="E1251" s="67"/>
      <c r="H1251" s="67"/>
      <c r="I1251" s="67"/>
      <c r="J1251" s="67"/>
      <c r="K1251" s="67"/>
      <c r="L1251" s="67"/>
    </row>
    <row r="1252" spans="1:15" x14ac:dyDescent="0.25">
      <c r="A1252" s="41" t="s">
        <v>638</v>
      </c>
      <c r="H1252" s="41" t="s">
        <v>639</v>
      </c>
    </row>
    <row r="1253" spans="1:15" ht="11.25" customHeight="1" x14ac:dyDescent="0.25">
      <c r="F1253" s="68"/>
      <c r="M1253" s="68"/>
    </row>
    <row r="1254" spans="1:15" x14ac:dyDescent="0.25">
      <c r="A1254" s="40" t="s">
        <v>86</v>
      </c>
      <c r="D1254" s="69"/>
      <c r="F1254" s="68"/>
      <c r="H1254" s="40" t="s">
        <v>86</v>
      </c>
      <c r="K1254" s="69"/>
      <c r="M1254" s="68"/>
    </row>
    <row r="1255" spans="1:15" ht="13.5" customHeight="1" thickBot="1" x14ac:dyDescent="0.3"/>
    <row r="1256" spans="1:15" ht="17.25" thickBot="1" x14ac:dyDescent="0.35">
      <c r="A1256" s="306" t="s">
        <v>87</v>
      </c>
      <c r="B1256" s="307"/>
      <c r="C1256" s="307"/>
      <c r="D1256" s="308"/>
      <c r="F1256" s="40" t="s">
        <v>89</v>
      </c>
      <c r="H1256" s="306" t="s">
        <v>87</v>
      </c>
      <c r="I1256" s="307"/>
      <c r="J1256" s="307"/>
      <c r="K1256" s="308"/>
      <c r="M1256" s="350" t="s">
        <v>89</v>
      </c>
      <c r="N1256" s="350"/>
      <c r="O1256" s="350"/>
    </row>
    <row r="1257" spans="1:15" ht="26.25" customHeight="1" thickBot="1" x14ac:dyDescent="0.3">
      <c r="A1257" s="70" t="s">
        <v>62</v>
      </c>
      <c r="B1257" s="71" t="s">
        <v>90</v>
      </c>
      <c r="C1257" s="72" t="s">
        <v>91</v>
      </c>
      <c r="D1257" s="73" t="s">
        <v>92</v>
      </c>
      <c r="H1257" s="70" t="s">
        <v>62</v>
      </c>
      <c r="I1257" s="71" t="s">
        <v>90</v>
      </c>
      <c r="J1257" s="72" t="s">
        <v>91</v>
      </c>
      <c r="K1257" s="73" t="s">
        <v>92</v>
      </c>
    </row>
    <row r="1258" spans="1:15" x14ac:dyDescent="0.25">
      <c r="A1258" s="75">
        <v>719</v>
      </c>
      <c r="B1258" s="76" t="e">
        <f>+#REF!+#REF!+#REF!+#REF!+#REF!</f>
        <v>#REF!</v>
      </c>
      <c r="C1258" s="77" t="e">
        <f>+D1221</f>
        <v>#REF!</v>
      </c>
      <c r="D1258" s="79" t="e">
        <f>+B1258+C1258</f>
        <v>#REF!</v>
      </c>
      <c r="H1258" s="75">
        <v>719</v>
      </c>
      <c r="I1258" s="76">
        <f>+O1238+O1240+O1242+O1244+O1246</f>
        <v>240000</v>
      </c>
      <c r="J1258" s="77">
        <f>+K1221</f>
        <v>12720000</v>
      </c>
      <c r="K1258" s="79">
        <f>+I1258+J1258</f>
        <v>12960000</v>
      </c>
    </row>
    <row r="1259" spans="1:15" ht="14.25" customHeight="1" x14ac:dyDescent="0.25">
      <c r="A1259" s="80">
        <v>721</v>
      </c>
      <c r="B1259" s="81" t="e">
        <f>(+#REF!+#REF!+#REF!+#REF!+#REF!)</f>
        <v>#REF!</v>
      </c>
      <c r="C1259" s="77" t="e">
        <f>+D1222</f>
        <v>#REF!</v>
      </c>
      <c r="D1259" s="79" t="e">
        <f>+B1259+C1259</f>
        <v>#REF!</v>
      </c>
      <c r="H1259" s="80">
        <v>721</v>
      </c>
      <c r="I1259" s="81">
        <f>+O1239+O1241++O1245+O1247</f>
        <v>78034481</v>
      </c>
      <c r="J1259" s="77">
        <f>+K1222</f>
        <v>1505000</v>
      </c>
      <c r="K1259" s="79">
        <f>+I1259+J1259</f>
        <v>79539481</v>
      </c>
    </row>
    <row r="1260" spans="1:15" ht="12.75" customHeight="1" x14ac:dyDescent="0.25">
      <c r="A1260" s="80">
        <v>722</v>
      </c>
      <c r="B1260" s="81"/>
      <c r="C1260" s="77" t="e">
        <f>+D1223</f>
        <v>#REF!</v>
      </c>
      <c r="D1260" s="79" t="e">
        <f>+B1260+C1260</f>
        <v>#REF!</v>
      </c>
      <c r="H1260" s="80">
        <v>722</v>
      </c>
      <c r="I1260" s="81"/>
      <c r="J1260" s="77">
        <f>+K1223</f>
        <v>0</v>
      </c>
      <c r="K1260" s="79">
        <f>+I1260+J1260</f>
        <v>0</v>
      </c>
      <c r="M1260" s="343" t="s">
        <v>640</v>
      </c>
      <c r="N1260" s="343"/>
      <c r="O1260" s="343"/>
    </row>
    <row r="1261" spans="1:15" ht="14.25" customHeight="1" x14ac:dyDescent="0.25">
      <c r="A1261" s="80">
        <v>723</v>
      </c>
      <c r="B1261" s="81"/>
      <c r="C1261" s="77" t="e">
        <f>+D1224</f>
        <v>#REF!</v>
      </c>
      <c r="D1261" s="79" t="e">
        <f>+B1261+C1261</f>
        <v>#REF!</v>
      </c>
      <c r="F1261" s="83" t="s">
        <v>93</v>
      </c>
      <c r="G1261" s="84"/>
      <c r="H1261" s="80">
        <v>723</v>
      </c>
      <c r="I1261" s="81">
        <f>+O1243</f>
        <v>3980000</v>
      </c>
      <c r="J1261" s="77">
        <f>+K1224</f>
        <v>2832500</v>
      </c>
      <c r="K1261" s="79">
        <f>+I1261+J1261</f>
        <v>6812500</v>
      </c>
      <c r="M1261" s="343"/>
      <c r="N1261" s="343"/>
      <c r="O1261" s="343"/>
    </row>
    <row r="1262" spans="1:15" ht="14.25" customHeight="1" thickBot="1" x14ac:dyDescent="0.3">
      <c r="A1262" s="85" t="s">
        <v>94</v>
      </c>
      <c r="B1262" s="86"/>
      <c r="C1262" s="77" t="e">
        <f>+D1225</f>
        <v>#REF!</v>
      </c>
      <c r="D1262" s="89" t="e">
        <f>+B1262+C1262</f>
        <v>#REF!</v>
      </c>
      <c r="F1262" s="45"/>
      <c r="H1262" s="85" t="s">
        <v>94</v>
      </c>
      <c r="I1262" s="86"/>
      <c r="J1262" s="77" t="e">
        <f>+K1225</f>
        <v>#REF!</v>
      </c>
      <c r="K1262" s="89" t="e">
        <f>+I1262+J1262</f>
        <v>#REF!</v>
      </c>
      <c r="M1262" s="45"/>
    </row>
    <row r="1263" spans="1:15" ht="16.5" thickBot="1" x14ac:dyDescent="0.3">
      <c r="A1263" s="90"/>
      <c r="B1263" s="91" t="e">
        <f>SUM(B1258:B1262)</f>
        <v>#REF!</v>
      </c>
      <c r="C1263" s="92" t="e">
        <f>SUM(C1258:C1262)</f>
        <v>#REF!</v>
      </c>
      <c r="D1263" s="93" t="e">
        <f>SUM(D1258:D1262)</f>
        <v>#REF!</v>
      </c>
      <c r="H1263" s="90"/>
      <c r="I1263" s="94">
        <f>SUM(I1258:I1262)</f>
        <v>82254481</v>
      </c>
      <c r="J1263" s="94" t="e">
        <f>SUM(J1258:J1262)</f>
        <v>#REF!</v>
      </c>
      <c r="K1263" s="95" t="e">
        <f>SUM(K1258:K1262)</f>
        <v>#REF!</v>
      </c>
    </row>
    <row r="1264" spans="1:15" ht="16.5" x14ac:dyDescent="0.25">
      <c r="A1264" s="39" t="s">
        <v>46</v>
      </c>
      <c r="B1264" s="40"/>
      <c r="H1264" s="39" t="s">
        <v>46</v>
      </c>
      <c r="I1264" s="40"/>
    </row>
    <row r="1265" spans="1:15" x14ac:dyDescent="0.25">
      <c r="A1265" s="41" t="s">
        <v>47</v>
      </c>
      <c r="H1265" s="41" t="s">
        <v>47</v>
      </c>
    </row>
    <row r="1266" spans="1:15" x14ac:dyDescent="0.25">
      <c r="A1266" s="41" t="s">
        <v>48</v>
      </c>
      <c r="H1266" s="41" t="s">
        <v>48</v>
      </c>
    </row>
    <row r="1267" spans="1:15" x14ac:dyDescent="0.25">
      <c r="A1267" s="41" t="s">
        <v>49</v>
      </c>
      <c r="H1267" s="41" t="s">
        <v>49</v>
      </c>
    </row>
    <row r="1268" spans="1:15" ht="12" customHeight="1" x14ac:dyDescent="0.25">
      <c r="A1268" s="40"/>
      <c r="B1268" s="40"/>
      <c r="H1268" s="40"/>
      <c r="I1268" s="40"/>
    </row>
    <row r="1269" spans="1:15" ht="16.5" x14ac:dyDescent="0.25">
      <c r="A1269" s="45" t="s">
        <v>641</v>
      </c>
      <c r="G1269" s="45"/>
      <c r="H1269" s="188" t="s">
        <v>642</v>
      </c>
      <c r="N1269" s="45"/>
    </row>
    <row r="1270" spans="1:15" ht="15.75" x14ac:dyDescent="0.25">
      <c r="A1270" s="47" t="s">
        <v>52</v>
      </c>
      <c r="G1270" s="47"/>
      <c r="H1270" s="47" t="s">
        <v>622</v>
      </c>
      <c r="N1270" s="47"/>
    </row>
    <row r="1271" spans="1:15" ht="16.5" x14ac:dyDescent="0.25">
      <c r="A1271" s="326" t="s">
        <v>201</v>
      </c>
      <c r="B1271" s="326"/>
      <c r="C1271" s="326"/>
      <c r="D1271" s="326"/>
      <c r="E1271" s="326"/>
      <c r="F1271" s="326"/>
      <c r="G1271" s="326"/>
      <c r="H1271" s="326" t="s">
        <v>55</v>
      </c>
      <c r="I1271" s="326"/>
      <c r="J1271" s="326"/>
      <c r="K1271" s="326"/>
      <c r="L1271" s="326"/>
      <c r="M1271" s="326"/>
      <c r="N1271" s="326"/>
      <c r="O1271" s="326"/>
    </row>
    <row r="1272" spans="1:15" ht="12.75" customHeight="1" thickBot="1" x14ac:dyDescent="0.3"/>
    <row r="1273" spans="1:15" x14ac:dyDescent="0.25">
      <c r="A1273" s="327" t="s">
        <v>56</v>
      </c>
      <c r="B1273" s="322" t="s">
        <v>57</v>
      </c>
      <c r="C1273" s="322" t="s">
        <v>58</v>
      </c>
      <c r="D1273" s="322" t="s">
        <v>7</v>
      </c>
      <c r="E1273" s="322" t="s">
        <v>59</v>
      </c>
      <c r="F1273" s="322" t="s">
        <v>60</v>
      </c>
      <c r="G1273" s="50" t="s">
        <v>61</v>
      </c>
      <c r="H1273" s="327" t="s">
        <v>56</v>
      </c>
      <c r="I1273" s="322" t="s">
        <v>57</v>
      </c>
      <c r="J1273" s="322" t="s">
        <v>58</v>
      </c>
      <c r="K1273" s="322" t="s">
        <v>7</v>
      </c>
      <c r="L1273" s="322" t="s">
        <v>59</v>
      </c>
      <c r="M1273" s="322" t="s">
        <v>60</v>
      </c>
      <c r="N1273" s="322" t="s">
        <v>61</v>
      </c>
      <c r="O1273" s="324"/>
    </row>
    <row r="1274" spans="1:15" ht="15.75" thickBot="1" x14ac:dyDescent="0.3">
      <c r="A1274" s="328"/>
      <c r="B1274" s="323"/>
      <c r="C1274" s="323"/>
      <c r="D1274" s="323"/>
      <c r="E1274" s="323"/>
      <c r="F1274" s="323"/>
      <c r="G1274" s="51" t="s">
        <v>62</v>
      </c>
      <c r="H1274" s="328"/>
      <c r="I1274" s="323"/>
      <c r="J1274" s="323"/>
      <c r="K1274" s="323"/>
      <c r="L1274" s="323"/>
      <c r="M1274" s="323"/>
      <c r="N1274" s="51" t="s">
        <v>62</v>
      </c>
      <c r="O1274" s="52" t="s">
        <v>63</v>
      </c>
    </row>
    <row r="1275" spans="1:15" ht="15" customHeight="1" x14ac:dyDescent="0.25">
      <c r="A1275" s="344" t="e">
        <f>+A1246+1</f>
        <v>#REF!</v>
      </c>
      <c r="B1275" s="312">
        <v>42361</v>
      </c>
      <c r="C1275" s="314" t="s">
        <v>221</v>
      </c>
      <c r="D1275" s="314" t="s">
        <v>590</v>
      </c>
      <c r="E1275" s="318" t="s">
        <v>5</v>
      </c>
      <c r="F1275" s="320">
        <v>168000</v>
      </c>
      <c r="G1275" s="53">
        <v>719</v>
      </c>
      <c r="H1275" s="310" t="s">
        <v>643</v>
      </c>
      <c r="I1275" s="312">
        <v>43062</v>
      </c>
      <c r="J1275" s="314" t="s">
        <v>70</v>
      </c>
      <c r="K1275" s="318" t="s">
        <v>644</v>
      </c>
      <c r="L1275" s="318" t="s">
        <v>66</v>
      </c>
      <c r="M1275" s="320">
        <v>80000</v>
      </c>
      <c r="N1275" s="53">
        <v>719</v>
      </c>
      <c r="O1275" s="54">
        <f>+M1275</f>
        <v>80000</v>
      </c>
    </row>
    <row r="1276" spans="1:15" ht="15.75" customHeight="1" thickBot="1" x14ac:dyDescent="0.3">
      <c r="A1276" s="345"/>
      <c r="B1276" s="313"/>
      <c r="C1276" s="315"/>
      <c r="D1276" s="315"/>
      <c r="E1276" s="319"/>
      <c r="F1276" s="321"/>
      <c r="G1276" s="55">
        <v>721</v>
      </c>
      <c r="H1276" s="311"/>
      <c r="I1276" s="313"/>
      <c r="J1276" s="315"/>
      <c r="K1276" s="319"/>
      <c r="L1276" s="319"/>
      <c r="M1276" s="321"/>
      <c r="N1276" s="55">
        <v>723</v>
      </c>
      <c r="O1276" s="56"/>
    </row>
    <row r="1277" spans="1:15" ht="15" customHeight="1" x14ac:dyDescent="0.25">
      <c r="A1277" s="344" t="e">
        <f>+A1275+1</f>
        <v>#REF!</v>
      </c>
      <c r="B1277" s="312">
        <v>42361</v>
      </c>
      <c r="C1277" s="318" t="s">
        <v>70</v>
      </c>
      <c r="D1277" s="314" t="s">
        <v>645</v>
      </c>
      <c r="E1277" s="318" t="s">
        <v>5</v>
      </c>
      <c r="F1277" s="320">
        <v>182000</v>
      </c>
      <c r="G1277" s="53">
        <v>719</v>
      </c>
      <c r="H1277" s="310" t="s">
        <v>646</v>
      </c>
      <c r="I1277" s="312">
        <v>43062</v>
      </c>
      <c r="J1277" s="318" t="s">
        <v>251</v>
      </c>
      <c r="K1277" s="318" t="s">
        <v>647</v>
      </c>
      <c r="L1277" s="318" t="s">
        <v>66</v>
      </c>
      <c r="M1277" s="320">
        <v>300000</v>
      </c>
      <c r="N1277" s="53">
        <v>719</v>
      </c>
      <c r="O1277" s="54">
        <f>+M1277</f>
        <v>300000</v>
      </c>
    </row>
    <row r="1278" spans="1:15" ht="15.75" customHeight="1" thickBot="1" x14ac:dyDescent="0.3">
      <c r="A1278" s="345"/>
      <c r="B1278" s="313"/>
      <c r="C1278" s="319"/>
      <c r="D1278" s="315"/>
      <c r="E1278" s="319"/>
      <c r="F1278" s="321"/>
      <c r="G1278" s="55">
        <v>721</v>
      </c>
      <c r="H1278" s="311"/>
      <c r="I1278" s="313"/>
      <c r="J1278" s="319"/>
      <c r="K1278" s="319"/>
      <c r="L1278" s="319"/>
      <c r="M1278" s="321"/>
      <c r="N1278" s="55">
        <v>723</v>
      </c>
      <c r="O1278" s="56">
        <v>0</v>
      </c>
    </row>
    <row r="1279" spans="1:15" ht="12.75" customHeight="1" x14ac:dyDescent="0.25">
      <c r="A1279" s="344" t="e">
        <f>+A1277+1</f>
        <v>#REF!</v>
      </c>
      <c r="B1279" s="312">
        <v>42361</v>
      </c>
      <c r="C1279" s="314" t="s">
        <v>106</v>
      </c>
      <c r="D1279" s="314" t="s">
        <v>648</v>
      </c>
      <c r="E1279" s="318" t="s">
        <v>5</v>
      </c>
      <c r="F1279" s="320">
        <v>98000</v>
      </c>
      <c r="G1279" s="53">
        <v>719</v>
      </c>
      <c r="H1279" s="318"/>
      <c r="I1279" s="312"/>
      <c r="J1279" s="314"/>
      <c r="K1279" s="318"/>
      <c r="L1279" s="318"/>
      <c r="M1279" s="320"/>
      <c r="N1279" s="53"/>
      <c r="O1279" s="54"/>
    </row>
    <row r="1280" spans="1:15" ht="12" customHeight="1" thickBot="1" x14ac:dyDescent="0.3">
      <c r="A1280" s="345"/>
      <c r="B1280" s="313"/>
      <c r="C1280" s="315"/>
      <c r="D1280" s="315"/>
      <c r="E1280" s="319"/>
      <c r="F1280" s="321"/>
      <c r="G1280" s="55">
        <v>721</v>
      </c>
      <c r="H1280" s="319"/>
      <c r="I1280" s="313"/>
      <c r="J1280" s="315"/>
      <c r="K1280" s="319"/>
      <c r="L1280" s="319"/>
      <c r="M1280" s="321"/>
      <c r="N1280" s="55"/>
      <c r="O1280" s="56"/>
    </row>
    <row r="1281" spans="1:15" ht="12.75" customHeight="1" x14ac:dyDescent="0.25">
      <c r="A1281" s="344" t="e">
        <f>+A1279+1</f>
        <v>#REF!</v>
      </c>
      <c r="B1281" s="312">
        <v>42361</v>
      </c>
      <c r="C1281" s="314" t="s">
        <v>231</v>
      </c>
      <c r="D1281" s="314" t="s">
        <v>649</v>
      </c>
      <c r="E1281" s="318" t="s">
        <v>5</v>
      </c>
      <c r="F1281" s="320">
        <v>168000</v>
      </c>
      <c r="G1281" s="53">
        <v>719</v>
      </c>
      <c r="H1281" s="318"/>
      <c r="I1281" s="312"/>
      <c r="J1281" s="314"/>
      <c r="K1281" s="318"/>
      <c r="L1281" s="318"/>
      <c r="M1281" s="320"/>
      <c r="N1281" s="53"/>
      <c r="O1281" s="54"/>
    </row>
    <row r="1282" spans="1:15" ht="12" customHeight="1" thickBot="1" x14ac:dyDescent="0.3">
      <c r="A1282" s="345"/>
      <c r="B1282" s="313"/>
      <c r="C1282" s="315"/>
      <c r="D1282" s="315"/>
      <c r="E1282" s="319"/>
      <c r="F1282" s="321"/>
      <c r="G1282" s="55">
        <v>721</v>
      </c>
      <c r="H1282" s="319"/>
      <c r="I1282" s="313"/>
      <c r="J1282" s="315"/>
      <c r="K1282" s="319"/>
      <c r="L1282" s="319"/>
      <c r="M1282" s="321"/>
      <c r="N1282" s="55"/>
      <c r="O1282" s="56"/>
    </row>
    <row r="1283" spans="1:15" ht="12" customHeight="1" x14ac:dyDescent="0.25">
      <c r="A1283" s="344" t="e">
        <f>+A1281+1</f>
        <v>#REF!</v>
      </c>
      <c r="B1283" s="312">
        <v>42361</v>
      </c>
      <c r="C1283" s="314" t="s">
        <v>297</v>
      </c>
      <c r="D1283" s="314" t="s">
        <v>648</v>
      </c>
      <c r="E1283" s="318" t="s">
        <v>5</v>
      </c>
      <c r="F1283" s="320">
        <v>700000</v>
      </c>
      <c r="G1283" s="53">
        <v>719</v>
      </c>
      <c r="H1283" s="318"/>
      <c r="I1283" s="312"/>
      <c r="J1283" s="314"/>
      <c r="K1283" s="318"/>
      <c r="L1283" s="318"/>
      <c r="M1283" s="320"/>
      <c r="N1283" s="53"/>
      <c r="O1283" s="54"/>
    </row>
    <row r="1284" spans="1:15" ht="13.5" customHeight="1" thickBot="1" x14ac:dyDescent="0.3">
      <c r="A1284" s="345"/>
      <c r="B1284" s="313"/>
      <c r="C1284" s="315"/>
      <c r="D1284" s="315"/>
      <c r="E1284" s="319"/>
      <c r="F1284" s="321"/>
      <c r="G1284" s="55">
        <v>721</v>
      </c>
      <c r="H1284" s="319"/>
      <c r="I1284" s="313"/>
      <c r="J1284" s="315"/>
      <c r="K1284" s="319"/>
      <c r="L1284" s="319"/>
      <c r="M1284" s="321"/>
      <c r="N1284" s="55"/>
      <c r="O1284" s="56"/>
    </row>
    <row r="1285" spans="1:15" ht="16.5" thickBot="1" x14ac:dyDescent="0.3">
      <c r="A1285" s="297" t="s">
        <v>80</v>
      </c>
      <c r="B1285" s="298"/>
      <c r="C1285" s="298"/>
      <c r="D1285" s="298"/>
      <c r="E1285" s="299"/>
      <c r="F1285" s="62">
        <f>SUM(F1275:F1284)</f>
        <v>1316000</v>
      </c>
      <c r="H1285" s="297" t="s">
        <v>80</v>
      </c>
      <c r="I1285" s="298"/>
      <c r="J1285" s="298"/>
      <c r="K1285" s="298"/>
      <c r="L1285" s="299"/>
      <c r="M1285" s="62">
        <f>SUM(M1275:M1284)</f>
        <v>380000</v>
      </c>
    </row>
    <row r="1286" spans="1:15" ht="16.5" thickBot="1" x14ac:dyDescent="0.3">
      <c r="A1286" s="300" t="s">
        <v>81</v>
      </c>
      <c r="B1286" s="301"/>
      <c r="C1286" s="301"/>
      <c r="D1286" s="301"/>
      <c r="E1286" s="302"/>
      <c r="F1286" s="63" t="e">
        <f>+F1250</f>
        <v>#REF!</v>
      </c>
      <c r="H1286" s="300" t="s">
        <v>81</v>
      </c>
      <c r="I1286" s="301"/>
      <c r="J1286" s="301"/>
      <c r="K1286" s="301"/>
      <c r="L1286" s="302"/>
      <c r="M1286" s="63">
        <f>+M1250</f>
        <v>99311981</v>
      </c>
      <c r="N1286" s="64" t="s">
        <v>82</v>
      </c>
      <c r="O1286" s="65"/>
    </row>
    <row r="1287" spans="1:15" ht="16.5" thickBot="1" x14ac:dyDescent="0.3">
      <c r="A1287" s="303" t="s">
        <v>83</v>
      </c>
      <c r="B1287" s="304"/>
      <c r="C1287" s="304"/>
      <c r="D1287" s="304"/>
      <c r="E1287" s="305"/>
      <c r="F1287" s="66" t="e">
        <f>SUM(F1285:F1286)</f>
        <v>#REF!</v>
      </c>
      <c r="H1287" s="303" t="s">
        <v>83</v>
      </c>
      <c r="I1287" s="304"/>
      <c r="J1287" s="304"/>
      <c r="K1287" s="304"/>
      <c r="L1287" s="305"/>
      <c r="M1287" s="66">
        <f>SUM(M1285:M1286)</f>
        <v>99691981</v>
      </c>
    </row>
    <row r="1288" spans="1:15" x14ac:dyDescent="0.25">
      <c r="A1288" s="67"/>
      <c r="B1288" s="67"/>
      <c r="C1288" s="67"/>
      <c r="D1288" s="67"/>
      <c r="E1288" s="67"/>
      <c r="H1288" s="67"/>
      <c r="I1288" s="67"/>
      <c r="J1288" s="67"/>
      <c r="K1288" s="67"/>
      <c r="L1288" s="67"/>
    </row>
    <row r="1289" spans="1:15" x14ac:dyDescent="0.25">
      <c r="A1289" s="41" t="s">
        <v>650</v>
      </c>
      <c r="H1289" s="41" t="s">
        <v>651</v>
      </c>
    </row>
    <row r="1290" spans="1:15" ht="12" customHeight="1" x14ac:dyDescent="0.25">
      <c r="F1290" s="68"/>
      <c r="M1290" s="68"/>
    </row>
    <row r="1291" spans="1:15" x14ac:dyDescent="0.25">
      <c r="A1291" s="40" t="s">
        <v>86</v>
      </c>
      <c r="D1291" s="69"/>
      <c r="F1291" s="68"/>
      <c r="H1291" s="40" t="s">
        <v>86</v>
      </c>
      <c r="K1291" s="69"/>
      <c r="M1291" s="68"/>
    </row>
    <row r="1292" spans="1:15" ht="12" customHeight="1" thickBot="1" x14ac:dyDescent="0.3"/>
    <row r="1293" spans="1:15" ht="15.75" thickBot="1" x14ac:dyDescent="0.3">
      <c r="A1293" s="306" t="s">
        <v>87</v>
      </c>
      <c r="B1293" s="307"/>
      <c r="C1293" s="307"/>
      <c r="D1293" s="308"/>
      <c r="F1293" s="40" t="s">
        <v>89</v>
      </c>
      <c r="H1293" s="306" t="s">
        <v>87</v>
      </c>
      <c r="I1293" s="307"/>
      <c r="J1293" s="307"/>
      <c r="K1293" s="308"/>
      <c r="M1293" s="40" t="s">
        <v>89</v>
      </c>
    </row>
    <row r="1294" spans="1:15" ht="30.75" thickBot="1" x14ac:dyDescent="0.3">
      <c r="A1294" s="70" t="s">
        <v>62</v>
      </c>
      <c r="B1294" s="71" t="s">
        <v>90</v>
      </c>
      <c r="C1294" s="72" t="s">
        <v>91</v>
      </c>
      <c r="D1294" s="73" t="s">
        <v>92</v>
      </c>
      <c r="H1294" s="70" t="s">
        <v>62</v>
      </c>
      <c r="I1294" s="71" t="s">
        <v>90</v>
      </c>
      <c r="J1294" s="72" t="s">
        <v>91</v>
      </c>
      <c r="K1294" s="73" t="s">
        <v>92</v>
      </c>
    </row>
    <row r="1295" spans="1:15" ht="12.75" customHeight="1" x14ac:dyDescent="0.25">
      <c r="A1295" s="75">
        <v>719</v>
      </c>
      <c r="B1295" s="76" t="e">
        <f>+#REF!+#REF!+#REF!+#REF!+#REF!</f>
        <v>#REF!</v>
      </c>
      <c r="C1295" s="77" t="e">
        <f>+D1258</f>
        <v>#REF!</v>
      </c>
      <c r="D1295" s="79" t="e">
        <f>+B1295+C1295</f>
        <v>#REF!</v>
      </c>
      <c r="H1295" s="75">
        <v>719</v>
      </c>
      <c r="I1295" s="76">
        <f>+O1275+O1277+O1279+O1281+O1283</f>
        <v>380000</v>
      </c>
      <c r="J1295" s="77">
        <f>+K1258</f>
        <v>12960000</v>
      </c>
      <c r="K1295" s="79">
        <f>+I1295+J1295</f>
        <v>13340000</v>
      </c>
    </row>
    <row r="1296" spans="1:15" ht="13.5" customHeight="1" x14ac:dyDescent="0.25">
      <c r="A1296" s="80">
        <v>721</v>
      </c>
      <c r="B1296" s="81" t="e">
        <f>(+#REF!+#REF!+#REF!+#REF!+#REF!)</f>
        <v>#REF!</v>
      </c>
      <c r="C1296" s="77" t="e">
        <f>+D1259</f>
        <v>#REF!</v>
      </c>
      <c r="D1296" s="79" t="e">
        <f>+B1296+C1296</f>
        <v>#REF!</v>
      </c>
      <c r="H1296" s="80">
        <v>721</v>
      </c>
      <c r="I1296" s="81">
        <v>0</v>
      </c>
      <c r="J1296" s="77">
        <f>+K1259</f>
        <v>79539481</v>
      </c>
      <c r="K1296" s="79">
        <f>+I1296+J1296</f>
        <v>79539481</v>
      </c>
    </row>
    <row r="1297" spans="1:15" ht="14.25" customHeight="1" x14ac:dyDescent="0.25">
      <c r="A1297" s="80">
        <v>722</v>
      </c>
      <c r="B1297" s="81"/>
      <c r="C1297" s="77" t="e">
        <f>+D1260</f>
        <v>#REF!</v>
      </c>
      <c r="D1297" s="79" t="e">
        <f>+B1297+C1297</f>
        <v>#REF!</v>
      </c>
      <c r="H1297" s="80">
        <v>722</v>
      </c>
      <c r="I1297" s="81"/>
      <c r="J1297" s="77">
        <f>+K1260</f>
        <v>0</v>
      </c>
      <c r="K1297" s="79">
        <f>+I1297+J1297</f>
        <v>0</v>
      </c>
    </row>
    <row r="1298" spans="1:15" ht="15.75" x14ac:dyDescent="0.25">
      <c r="A1298" s="80">
        <v>723</v>
      </c>
      <c r="B1298" s="81"/>
      <c r="C1298" s="77" t="e">
        <f>+D1261</f>
        <v>#REF!</v>
      </c>
      <c r="D1298" s="79" t="e">
        <f>+B1298+C1298</f>
        <v>#REF!</v>
      </c>
      <c r="F1298" s="83" t="s">
        <v>93</v>
      </c>
      <c r="G1298" s="84"/>
      <c r="H1298" s="80">
        <v>723</v>
      </c>
      <c r="I1298" s="81">
        <f>+O1284+O1282+O1280+O1278+O1276</f>
        <v>0</v>
      </c>
      <c r="J1298" s="77">
        <f>+K1261</f>
        <v>6812500</v>
      </c>
      <c r="K1298" s="79">
        <f>+I1298+J1298</f>
        <v>6812500</v>
      </c>
      <c r="M1298" s="343" t="s">
        <v>640</v>
      </c>
      <c r="N1298" s="343"/>
      <c r="O1298" s="343"/>
    </row>
    <row r="1299" spans="1:15" ht="13.5" customHeight="1" thickBot="1" x14ac:dyDescent="0.3">
      <c r="A1299" s="85" t="s">
        <v>94</v>
      </c>
      <c r="B1299" s="86"/>
      <c r="C1299" s="77" t="e">
        <f>+D1262</f>
        <v>#REF!</v>
      </c>
      <c r="D1299" s="89" t="e">
        <f>+B1299+C1299</f>
        <v>#REF!</v>
      </c>
      <c r="F1299" s="45"/>
      <c r="H1299" s="85" t="s">
        <v>94</v>
      </c>
      <c r="I1299" s="86"/>
      <c r="J1299" s="77" t="e">
        <f>+K1262</f>
        <v>#REF!</v>
      </c>
      <c r="K1299" s="89" t="e">
        <f>+I1299+J1299</f>
        <v>#REF!</v>
      </c>
      <c r="M1299" s="45"/>
    </row>
    <row r="1300" spans="1:15" ht="16.5" thickBot="1" x14ac:dyDescent="0.3">
      <c r="A1300" s="90"/>
      <c r="B1300" s="91" t="e">
        <f>SUM(B1295:B1299)</f>
        <v>#REF!</v>
      </c>
      <c r="C1300" s="92" t="e">
        <f>SUM(C1295:C1299)</f>
        <v>#REF!</v>
      </c>
      <c r="D1300" s="93" t="e">
        <f>SUM(D1295:D1299)</f>
        <v>#REF!</v>
      </c>
      <c r="H1300" s="90"/>
      <c r="I1300" s="94">
        <f>SUM(I1295:I1299)</f>
        <v>380000</v>
      </c>
      <c r="J1300" s="94" t="e">
        <f>SUM(J1295:J1299)</f>
        <v>#REF!</v>
      </c>
      <c r="K1300" s="95" t="e">
        <f>SUM(K1295:K1299)</f>
        <v>#REF!</v>
      </c>
    </row>
    <row r="1301" spans="1:15" ht="16.5" x14ac:dyDescent="0.25">
      <c r="A1301" s="39" t="s">
        <v>46</v>
      </c>
      <c r="B1301" s="40"/>
      <c r="H1301" s="39" t="s">
        <v>46</v>
      </c>
      <c r="I1301" s="40"/>
    </row>
    <row r="1302" spans="1:15" x14ac:dyDescent="0.25">
      <c r="A1302" s="41" t="s">
        <v>47</v>
      </c>
      <c r="H1302" s="41" t="s">
        <v>47</v>
      </c>
    </row>
    <row r="1303" spans="1:15" x14ac:dyDescent="0.25">
      <c r="A1303" s="41" t="s">
        <v>48</v>
      </c>
      <c r="H1303" s="41" t="s">
        <v>48</v>
      </c>
    </row>
    <row r="1304" spans="1:15" x14ac:dyDescent="0.25">
      <c r="A1304" s="41" t="s">
        <v>49</v>
      </c>
      <c r="H1304" s="41" t="s">
        <v>49</v>
      </c>
    </row>
    <row r="1305" spans="1:15" ht="12" customHeight="1" x14ac:dyDescent="0.25">
      <c r="A1305" s="40"/>
      <c r="B1305" s="40"/>
      <c r="H1305" s="40"/>
      <c r="I1305" s="40"/>
    </row>
    <row r="1306" spans="1:15" ht="16.5" x14ac:dyDescent="0.25">
      <c r="A1306" s="45" t="s">
        <v>652</v>
      </c>
      <c r="G1306" s="45"/>
      <c r="H1306" s="188" t="s">
        <v>653</v>
      </c>
      <c r="N1306" s="45"/>
    </row>
    <row r="1307" spans="1:15" ht="15.75" x14ac:dyDescent="0.25">
      <c r="A1307" s="47" t="s">
        <v>52</v>
      </c>
      <c r="G1307" s="47"/>
      <c r="H1307" s="47" t="s">
        <v>622</v>
      </c>
      <c r="N1307" s="47"/>
    </row>
    <row r="1308" spans="1:15" ht="16.5" x14ac:dyDescent="0.25">
      <c r="A1308" s="326" t="s">
        <v>201</v>
      </c>
      <c r="B1308" s="326"/>
      <c r="C1308" s="326"/>
      <c r="D1308" s="326"/>
      <c r="E1308" s="326"/>
      <c r="F1308" s="326"/>
      <c r="G1308" s="326"/>
      <c r="H1308" s="326" t="s">
        <v>55</v>
      </c>
      <c r="I1308" s="326"/>
      <c r="J1308" s="326"/>
      <c r="K1308" s="326"/>
      <c r="L1308" s="326"/>
      <c r="M1308" s="326"/>
      <c r="N1308" s="326"/>
      <c r="O1308" s="326"/>
    </row>
    <row r="1309" spans="1:15" ht="15.75" thickBot="1" x14ac:dyDescent="0.3"/>
    <row r="1310" spans="1:15" x14ac:dyDescent="0.25">
      <c r="A1310" s="327" t="s">
        <v>56</v>
      </c>
      <c r="B1310" s="322" t="s">
        <v>57</v>
      </c>
      <c r="C1310" s="322" t="s">
        <v>58</v>
      </c>
      <c r="D1310" s="322" t="s">
        <v>7</v>
      </c>
      <c r="E1310" s="322" t="s">
        <v>59</v>
      </c>
      <c r="F1310" s="322" t="s">
        <v>60</v>
      </c>
      <c r="G1310" s="50" t="s">
        <v>61</v>
      </c>
      <c r="H1310" s="327" t="s">
        <v>56</v>
      </c>
      <c r="I1310" s="322" t="s">
        <v>57</v>
      </c>
      <c r="J1310" s="322" t="s">
        <v>58</v>
      </c>
      <c r="K1310" s="322" t="s">
        <v>7</v>
      </c>
      <c r="L1310" s="322" t="s">
        <v>59</v>
      </c>
      <c r="M1310" s="322" t="s">
        <v>60</v>
      </c>
      <c r="N1310" s="322" t="s">
        <v>61</v>
      </c>
      <c r="O1310" s="324"/>
    </row>
    <row r="1311" spans="1:15" ht="15.75" thickBot="1" x14ac:dyDescent="0.3">
      <c r="A1311" s="328"/>
      <c r="B1311" s="323"/>
      <c r="C1311" s="323"/>
      <c r="D1311" s="323"/>
      <c r="E1311" s="323"/>
      <c r="F1311" s="323"/>
      <c r="G1311" s="51" t="s">
        <v>62</v>
      </c>
      <c r="H1311" s="328"/>
      <c r="I1311" s="323"/>
      <c r="J1311" s="323"/>
      <c r="K1311" s="323"/>
      <c r="L1311" s="323"/>
      <c r="M1311" s="323"/>
      <c r="N1311" s="51" t="s">
        <v>62</v>
      </c>
      <c r="O1311" s="52" t="s">
        <v>63</v>
      </c>
    </row>
    <row r="1312" spans="1:15" ht="13.5" customHeight="1" x14ac:dyDescent="0.25">
      <c r="A1312" s="344" t="e">
        <f>+A1283+1</f>
        <v>#REF!</v>
      </c>
      <c r="B1312" s="312">
        <v>42364</v>
      </c>
      <c r="C1312" s="314" t="s">
        <v>221</v>
      </c>
      <c r="D1312" s="314" t="s">
        <v>654</v>
      </c>
      <c r="E1312" s="318" t="s">
        <v>5</v>
      </c>
      <c r="F1312" s="320">
        <v>112000</v>
      </c>
      <c r="G1312" s="53">
        <v>719</v>
      </c>
      <c r="H1312" s="310" t="s">
        <v>655</v>
      </c>
      <c r="I1312" s="312">
        <v>43088</v>
      </c>
      <c r="J1312" s="314" t="s">
        <v>548</v>
      </c>
      <c r="K1312" s="318" t="s">
        <v>656</v>
      </c>
      <c r="L1312" s="318" t="s">
        <v>5</v>
      </c>
      <c r="M1312" s="320">
        <v>325000</v>
      </c>
      <c r="N1312" s="53">
        <v>719</v>
      </c>
      <c r="O1312" s="54">
        <v>250000</v>
      </c>
    </row>
    <row r="1313" spans="1:15" ht="12.75" customHeight="1" thickBot="1" x14ac:dyDescent="0.3">
      <c r="A1313" s="345"/>
      <c r="B1313" s="313"/>
      <c r="C1313" s="315"/>
      <c r="D1313" s="315"/>
      <c r="E1313" s="319"/>
      <c r="F1313" s="321"/>
      <c r="G1313" s="55">
        <v>721</v>
      </c>
      <c r="H1313" s="311"/>
      <c r="I1313" s="313"/>
      <c r="J1313" s="315"/>
      <c r="K1313" s="319"/>
      <c r="L1313" s="319"/>
      <c r="M1313" s="321"/>
      <c r="N1313" s="55">
        <v>723</v>
      </c>
      <c r="O1313" s="56">
        <f>+M1312-O1312</f>
        <v>75000</v>
      </c>
    </row>
    <row r="1314" spans="1:15" ht="12" customHeight="1" x14ac:dyDescent="0.25">
      <c r="A1314" s="344" t="e">
        <f>+A1312+1</f>
        <v>#REF!</v>
      </c>
      <c r="B1314" s="312">
        <v>42364</v>
      </c>
      <c r="C1314" s="318" t="s">
        <v>70</v>
      </c>
      <c r="D1314" s="314" t="s">
        <v>657</v>
      </c>
      <c r="E1314" s="318" t="s">
        <v>5</v>
      </c>
      <c r="F1314" s="320">
        <v>238000</v>
      </c>
      <c r="G1314" s="53">
        <v>719</v>
      </c>
      <c r="H1314" s="318">
        <f>+H1312+1</f>
        <v>164</v>
      </c>
      <c r="I1314" s="312">
        <v>43088</v>
      </c>
      <c r="J1314" s="314" t="s">
        <v>548</v>
      </c>
      <c r="K1314" s="318" t="s">
        <v>658</v>
      </c>
      <c r="L1314" s="318" t="s">
        <v>5</v>
      </c>
      <c r="M1314" s="320">
        <v>312000</v>
      </c>
      <c r="N1314" s="53">
        <v>719</v>
      </c>
      <c r="O1314" s="54">
        <v>240000</v>
      </c>
    </row>
    <row r="1315" spans="1:15" ht="13.5" customHeight="1" thickBot="1" x14ac:dyDescent="0.3">
      <c r="A1315" s="345"/>
      <c r="B1315" s="313"/>
      <c r="C1315" s="319"/>
      <c r="D1315" s="315"/>
      <c r="E1315" s="319"/>
      <c r="F1315" s="321"/>
      <c r="G1315" s="55">
        <v>721</v>
      </c>
      <c r="H1315" s="319"/>
      <c r="I1315" s="313"/>
      <c r="J1315" s="315"/>
      <c r="K1315" s="319"/>
      <c r="L1315" s="319"/>
      <c r="M1315" s="321"/>
      <c r="N1315" s="55">
        <v>723</v>
      </c>
      <c r="O1315" s="56">
        <f>+M1314-O1314</f>
        <v>72000</v>
      </c>
    </row>
    <row r="1316" spans="1:15" ht="12.75" customHeight="1" x14ac:dyDescent="0.25">
      <c r="A1316" s="344" t="e">
        <f>+A1314+1</f>
        <v>#REF!</v>
      </c>
      <c r="B1316" s="312">
        <v>42364</v>
      </c>
      <c r="C1316" s="314" t="s">
        <v>106</v>
      </c>
      <c r="D1316" s="314" t="s">
        <v>657</v>
      </c>
      <c r="E1316" s="318" t="s">
        <v>5</v>
      </c>
      <c r="F1316" s="320">
        <v>112000</v>
      </c>
      <c r="G1316" s="53">
        <v>719</v>
      </c>
      <c r="H1316" s="318">
        <f>+H1314+1</f>
        <v>165</v>
      </c>
      <c r="I1316" s="312">
        <v>43088</v>
      </c>
      <c r="J1316" s="314" t="s">
        <v>548</v>
      </c>
      <c r="K1316" s="318" t="s">
        <v>659</v>
      </c>
      <c r="L1316" s="318" t="s">
        <v>5</v>
      </c>
      <c r="M1316" s="320">
        <v>247000</v>
      </c>
      <c r="N1316" s="53">
        <v>719</v>
      </c>
      <c r="O1316" s="54">
        <v>190000</v>
      </c>
    </row>
    <row r="1317" spans="1:15" ht="12.75" customHeight="1" thickBot="1" x14ac:dyDescent="0.3">
      <c r="A1317" s="345"/>
      <c r="B1317" s="313"/>
      <c r="C1317" s="315"/>
      <c r="D1317" s="315"/>
      <c r="E1317" s="319"/>
      <c r="F1317" s="321"/>
      <c r="G1317" s="55">
        <v>721</v>
      </c>
      <c r="H1317" s="319"/>
      <c r="I1317" s="313"/>
      <c r="J1317" s="315"/>
      <c r="K1317" s="319"/>
      <c r="L1317" s="319"/>
      <c r="M1317" s="321"/>
      <c r="N1317" s="55">
        <v>723</v>
      </c>
      <c r="O1317" s="56">
        <f>+M1316-O1316</f>
        <v>57000</v>
      </c>
    </row>
    <row r="1318" spans="1:15" ht="13.5" customHeight="1" x14ac:dyDescent="0.25">
      <c r="A1318" s="344" t="e">
        <f>+A1316+1</f>
        <v>#REF!</v>
      </c>
      <c r="B1318" s="312">
        <v>42364</v>
      </c>
      <c r="C1318" s="314" t="s">
        <v>231</v>
      </c>
      <c r="D1318" s="314" t="s">
        <v>660</v>
      </c>
      <c r="E1318" s="318" t="s">
        <v>5</v>
      </c>
      <c r="F1318" s="320">
        <v>112000</v>
      </c>
      <c r="G1318" s="53">
        <v>719</v>
      </c>
      <c r="H1318" s="318">
        <f>+H1316+1</f>
        <v>166</v>
      </c>
      <c r="I1318" s="312">
        <v>43088</v>
      </c>
      <c r="J1318" s="314" t="s">
        <v>548</v>
      </c>
      <c r="K1318" s="318" t="s">
        <v>661</v>
      </c>
      <c r="L1318" s="318" t="s">
        <v>5</v>
      </c>
      <c r="M1318" s="320">
        <v>208000</v>
      </c>
      <c r="N1318" s="53">
        <v>719</v>
      </c>
      <c r="O1318" s="54">
        <v>160000</v>
      </c>
    </row>
    <row r="1319" spans="1:15" ht="13.5" customHeight="1" thickBot="1" x14ac:dyDescent="0.3">
      <c r="A1319" s="345"/>
      <c r="B1319" s="313"/>
      <c r="C1319" s="315"/>
      <c r="D1319" s="315"/>
      <c r="E1319" s="319"/>
      <c r="F1319" s="321"/>
      <c r="G1319" s="55">
        <v>721</v>
      </c>
      <c r="H1319" s="319"/>
      <c r="I1319" s="313"/>
      <c r="J1319" s="315"/>
      <c r="K1319" s="319"/>
      <c r="L1319" s="319"/>
      <c r="M1319" s="321"/>
      <c r="N1319" s="55">
        <v>723</v>
      </c>
      <c r="O1319" s="56">
        <f>+M1318-O1318</f>
        <v>48000</v>
      </c>
    </row>
    <row r="1320" spans="1:15" ht="12.75" customHeight="1" x14ac:dyDescent="0.25">
      <c r="A1320" s="344" t="e">
        <f>+A1318+1</f>
        <v>#REF!</v>
      </c>
      <c r="B1320" s="312">
        <v>42364</v>
      </c>
      <c r="C1320" s="314" t="s">
        <v>297</v>
      </c>
      <c r="D1320" s="314" t="s">
        <v>657</v>
      </c>
      <c r="E1320" s="318" t="s">
        <v>5</v>
      </c>
      <c r="F1320" s="320">
        <v>616000</v>
      </c>
      <c r="G1320" s="53">
        <v>719</v>
      </c>
      <c r="H1320" s="318">
        <f>+H1318+1</f>
        <v>167</v>
      </c>
      <c r="I1320" s="312">
        <v>43088</v>
      </c>
      <c r="J1320" s="314" t="s">
        <v>548</v>
      </c>
      <c r="K1320" s="318" t="s">
        <v>662</v>
      </c>
      <c r="L1320" s="318" t="s">
        <v>5</v>
      </c>
      <c r="M1320" s="320">
        <v>234000</v>
      </c>
      <c r="N1320" s="53">
        <v>719</v>
      </c>
      <c r="O1320" s="54">
        <v>180000</v>
      </c>
    </row>
    <row r="1321" spans="1:15" ht="12.75" customHeight="1" thickBot="1" x14ac:dyDescent="0.3">
      <c r="A1321" s="345"/>
      <c r="B1321" s="313"/>
      <c r="C1321" s="315"/>
      <c r="D1321" s="315"/>
      <c r="E1321" s="319"/>
      <c r="F1321" s="321"/>
      <c r="G1321" s="55">
        <v>721</v>
      </c>
      <c r="H1321" s="319"/>
      <c r="I1321" s="313"/>
      <c r="J1321" s="315"/>
      <c r="K1321" s="319"/>
      <c r="L1321" s="319"/>
      <c r="M1321" s="321"/>
      <c r="N1321" s="55">
        <v>723</v>
      </c>
      <c r="O1321" s="56">
        <f>+M1320-O1320</f>
        <v>54000</v>
      </c>
    </row>
    <row r="1322" spans="1:15" ht="16.5" thickBot="1" x14ac:dyDescent="0.3">
      <c r="A1322" s="297" t="s">
        <v>80</v>
      </c>
      <c r="B1322" s="298"/>
      <c r="C1322" s="298"/>
      <c r="D1322" s="298"/>
      <c r="E1322" s="299"/>
      <c r="F1322" s="62">
        <f>SUM(F1312:F1321)</f>
        <v>1190000</v>
      </c>
      <c r="H1322" s="297" t="s">
        <v>80</v>
      </c>
      <c r="I1322" s="298"/>
      <c r="J1322" s="298"/>
      <c r="K1322" s="298"/>
      <c r="L1322" s="299"/>
      <c r="M1322" s="62">
        <f>SUM(M1312:M1321)</f>
        <v>1326000</v>
      </c>
    </row>
    <row r="1323" spans="1:15" ht="16.5" thickBot="1" x14ac:dyDescent="0.3">
      <c r="A1323" s="300" t="s">
        <v>81</v>
      </c>
      <c r="B1323" s="301"/>
      <c r="C1323" s="301"/>
      <c r="D1323" s="301"/>
      <c r="E1323" s="302"/>
      <c r="F1323" s="63" t="e">
        <f>+F1287</f>
        <v>#REF!</v>
      </c>
      <c r="H1323" s="300" t="s">
        <v>81</v>
      </c>
      <c r="I1323" s="301"/>
      <c r="J1323" s="301"/>
      <c r="K1323" s="301"/>
      <c r="L1323" s="302"/>
      <c r="M1323" s="63">
        <f>+M1287</f>
        <v>99691981</v>
      </c>
      <c r="N1323" s="64" t="s">
        <v>82</v>
      </c>
      <c r="O1323" s="65">
        <f>426+320+398+660+676</f>
        <v>2480</v>
      </c>
    </row>
    <row r="1324" spans="1:15" ht="16.5" thickBot="1" x14ac:dyDescent="0.3">
      <c r="A1324" s="303" t="s">
        <v>83</v>
      </c>
      <c r="B1324" s="304"/>
      <c r="C1324" s="304"/>
      <c r="D1324" s="304"/>
      <c r="E1324" s="305"/>
      <c r="F1324" s="66" t="e">
        <f>SUM(F1322:F1323)</f>
        <v>#REF!</v>
      </c>
      <c r="H1324" s="303" t="s">
        <v>83</v>
      </c>
      <c r="I1324" s="304"/>
      <c r="J1324" s="304"/>
      <c r="K1324" s="304"/>
      <c r="L1324" s="305"/>
      <c r="M1324" s="66">
        <f>SUM(M1322:M1323)</f>
        <v>101017981</v>
      </c>
    </row>
    <row r="1325" spans="1:15" x14ac:dyDescent="0.25">
      <c r="A1325" s="67"/>
      <c r="B1325" s="67"/>
      <c r="C1325" s="67"/>
      <c r="D1325" s="67"/>
      <c r="E1325" s="67"/>
      <c r="H1325" s="67"/>
      <c r="I1325" s="67"/>
      <c r="J1325" s="67"/>
      <c r="K1325" s="67"/>
      <c r="L1325" s="67"/>
    </row>
    <row r="1326" spans="1:15" x14ac:dyDescent="0.25">
      <c r="A1326" s="41" t="s">
        <v>663</v>
      </c>
      <c r="H1326" s="41" t="s">
        <v>664</v>
      </c>
    </row>
    <row r="1327" spans="1:15" ht="9.75" customHeight="1" x14ac:dyDescent="0.25">
      <c r="F1327" s="68"/>
      <c r="M1327" s="68"/>
    </row>
    <row r="1328" spans="1:15" x14ac:dyDescent="0.25">
      <c r="A1328" s="40" t="s">
        <v>86</v>
      </c>
      <c r="D1328" s="69"/>
      <c r="F1328" s="68"/>
      <c r="H1328" s="40" t="s">
        <v>86</v>
      </c>
      <c r="K1328" s="69"/>
      <c r="M1328" s="68"/>
    </row>
    <row r="1329" spans="1:15" ht="10.5" customHeight="1" thickBot="1" x14ac:dyDescent="0.3"/>
    <row r="1330" spans="1:15" ht="15.75" thickBot="1" x14ac:dyDescent="0.3">
      <c r="A1330" s="306" t="s">
        <v>87</v>
      </c>
      <c r="B1330" s="307"/>
      <c r="C1330" s="307"/>
      <c r="D1330" s="308"/>
      <c r="F1330" s="40" t="s">
        <v>89</v>
      </c>
      <c r="H1330" s="306" t="s">
        <v>87</v>
      </c>
      <c r="I1330" s="307"/>
      <c r="J1330" s="307"/>
      <c r="K1330" s="308"/>
      <c r="M1330" s="40" t="s">
        <v>89</v>
      </c>
    </row>
    <row r="1331" spans="1:15" ht="30.75" thickBot="1" x14ac:dyDescent="0.3">
      <c r="A1331" s="70" t="s">
        <v>62</v>
      </c>
      <c r="B1331" s="71" t="s">
        <v>90</v>
      </c>
      <c r="C1331" s="72" t="s">
        <v>91</v>
      </c>
      <c r="D1331" s="73" t="s">
        <v>92</v>
      </c>
      <c r="H1331" s="70" t="s">
        <v>62</v>
      </c>
      <c r="I1331" s="71" t="s">
        <v>90</v>
      </c>
      <c r="J1331" s="72" t="s">
        <v>91</v>
      </c>
      <c r="K1331" s="73" t="s">
        <v>92</v>
      </c>
    </row>
    <row r="1332" spans="1:15" x14ac:dyDescent="0.25">
      <c r="A1332" s="75">
        <v>719</v>
      </c>
      <c r="B1332" s="76" t="e">
        <f>+#REF!+#REF!+#REF!+#REF!+#REF!</f>
        <v>#REF!</v>
      </c>
      <c r="C1332" s="77" t="e">
        <f>+D1295</f>
        <v>#REF!</v>
      </c>
      <c r="D1332" s="79" t="e">
        <f>+B1332+C1332</f>
        <v>#REF!</v>
      </c>
      <c r="H1332" s="75">
        <v>719</v>
      </c>
      <c r="I1332" s="76">
        <f>+O1312+O1314+O1316+O1318+O1320</f>
        <v>1020000</v>
      </c>
      <c r="J1332" s="77">
        <f>+K1295</f>
        <v>13340000</v>
      </c>
      <c r="K1332" s="79">
        <f>+I1332+J1332</f>
        <v>14360000</v>
      </c>
    </row>
    <row r="1333" spans="1:15" x14ac:dyDescent="0.25">
      <c r="A1333" s="80">
        <v>721</v>
      </c>
      <c r="B1333" s="81" t="e">
        <f>(+#REF!+#REF!+#REF!+#REF!+#REF!)</f>
        <v>#REF!</v>
      </c>
      <c r="C1333" s="77" t="e">
        <f>+D1296</f>
        <v>#REF!</v>
      </c>
      <c r="D1333" s="79" t="e">
        <f>+B1333+C1333</f>
        <v>#REF!</v>
      </c>
      <c r="H1333" s="80">
        <v>721</v>
      </c>
      <c r="I1333" s="81">
        <f>+O1313+O1315+O1317+O1319+O1321</f>
        <v>306000</v>
      </c>
      <c r="J1333" s="77">
        <f>+K1296</f>
        <v>79539481</v>
      </c>
      <c r="K1333" s="79">
        <f>+I1333+J1333</f>
        <v>79845481</v>
      </c>
    </row>
    <row r="1334" spans="1:15" ht="13.5" customHeight="1" x14ac:dyDescent="0.25">
      <c r="A1334" s="80">
        <v>722</v>
      </c>
      <c r="B1334" s="81"/>
      <c r="C1334" s="77" t="e">
        <f>+D1297</f>
        <v>#REF!</v>
      </c>
      <c r="D1334" s="79" t="e">
        <f>+B1334+C1334</f>
        <v>#REF!</v>
      </c>
      <c r="H1334" s="80">
        <v>722</v>
      </c>
      <c r="I1334" s="81"/>
      <c r="J1334" s="77">
        <f>+K1297</f>
        <v>0</v>
      </c>
      <c r="K1334" s="79">
        <f>+I1334+J1334</f>
        <v>0</v>
      </c>
    </row>
    <row r="1335" spans="1:15" ht="15.75" x14ac:dyDescent="0.25">
      <c r="A1335" s="80">
        <v>723</v>
      </c>
      <c r="B1335" s="81"/>
      <c r="C1335" s="77" t="e">
        <f>+D1298</f>
        <v>#REF!</v>
      </c>
      <c r="D1335" s="79" t="e">
        <f>+B1335+C1335</f>
        <v>#REF!</v>
      </c>
      <c r="F1335" s="83" t="s">
        <v>93</v>
      </c>
      <c r="G1335" s="84"/>
      <c r="H1335" s="80">
        <v>723</v>
      </c>
      <c r="I1335" s="81"/>
      <c r="J1335" s="77">
        <f>+K1298</f>
        <v>6812500</v>
      </c>
      <c r="K1335" s="79">
        <f>+I1335+J1335</f>
        <v>6812500</v>
      </c>
      <c r="M1335" s="343" t="s">
        <v>640</v>
      </c>
      <c r="N1335" s="343"/>
      <c r="O1335" s="343"/>
    </row>
    <row r="1336" spans="1:15" ht="15" customHeight="1" thickBot="1" x14ac:dyDescent="0.3">
      <c r="A1336" s="85" t="s">
        <v>94</v>
      </c>
      <c r="B1336" s="86"/>
      <c r="C1336" s="77" t="e">
        <f>+D1299</f>
        <v>#REF!</v>
      </c>
      <c r="D1336" s="89" t="e">
        <f>+B1336+C1336</f>
        <v>#REF!</v>
      </c>
      <c r="F1336" s="45"/>
      <c r="H1336" s="85" t="s">
        <v>94</v>
      </c>
      <c r="I1336" s="86"/>
      <c r="J1336" s="77" t="e">
        <f>+K1299</f>
        <v>#REF!</v>
      </c>
      <c r="K1336" s="89" t="e">
        <f>+I1336+J1336</f>
        <v>#REF!</v>
      </c>
      <c r="M1336" s="45"/>
    </row>
    <row r="1337" spans="1:15" ht="16.5" thickBot="1" x14ac:dyDescent="0.3">
      <c r="A1337" s="90"/>
      <c r="B1337" s="91" t="e">
        <f>SUM(B1332:B1336)</f>
        <v>#REF!</v>
      </c>
      <c r="C1337" s="92" t="e">
        <f>SUM(C1332:C1336)</f>
        <v>#REF!</v>
      </c>
      <c r="D1337" s="93" t="e">
        <f>SUM(D1332:D1336)</f>
        <v>#REF!</v>
      </c>
      <c r="H1337" s="90"/>
      <c r="I1337" s="94">
        <f>SUM(I1332:I1336)</f>
        <v>1326000</v>
      </c>
      <c r="J1337" s="94" t="e">
        <f>SUM(J1332:J1336)</f>
        <v>#REF!</v>
      </c>
      <c r="K1337" s="95" t="e">
        <f>SUM(K1332:K1336)</f>
        <v>#REF!</v>
      </c>
    </row>
    <row r="1338" spans="1:15" ht="16.5" x14ac:dyDescent="0.25">
      <c r="A1338" s="39" t="s">
        <v>46</v>
      </c>
      <c r="B1338" s="40"/>
      <c r="H1338" s="39" t="s">
        <v>46</v>
      </c>
      <c r="I1338" s="40"/>
    </row>
    <row r="1339" spans="1:15" x14ac:dyDescent="0.25">
      <c r="A1339" s="41" t="s">
        <v>47</v>
      </c>
      <c r="H1339" s="41" t="s">
        <v>47</v>
      </c>
    </row>
    <row r="1340" spans="1:15" x14ac:dyDescent="0.25">
      <c r="A1340" s="41" t="s">
        <v>48</v>
      </c>
      <c r="H1340" s="41" t="s">
        <v>48</v>
      </c>
    </row>
    <row r="1341" spans="1:15" x14ac:dyDescent="0.25">
      <c r="A1341" s="41" t="s">
        <v>49</v>
      </c>
      <c r="H1341" s="41" t="s">
        <v>49</v>
      </c>
    </row>
    <row r="1342" spans="1:15" ht="9.75" customHeight="1" x14ac:dyDescent="0.25">
      <c r="A1342" s="40"/>
      <c r="B1342" s="40"/>
      <c r="H1342" s="40"/>
      <c r="I1342" s="40"/>
    </row>
    <row r="1343" spans="1:15" ht="16.5" x14ac:dyDescent="0.25">
      <c r="A1343" s="45" t="s">
        <v>665</v>
      </c>
      <c r="G1343" s="45"/>
      <c r="H1343" s="188" t="s">
        <v>666</v>
      </c>
      <c r="N1343" s="45"/>
    </row>
    <row r="1344" spans="1:15" ht="14.25" customHeight="1" x14ac:dyDescent="0.25">
      <c r="A1344" s="47" t="s">
        <v>52</v>
      </c>
      <c r="G1344" s="47"/>
      <c r="H1344" s="47" t="s">
        <v>622</v>
      </c>
      <c r="N1344" s="47"/>
    </row>
    <row r="1345" spans="1:15" ht="16.5" x14ac:dyDescent="0.25">
      <c r="A1345" s="326" t="s">
        <v>201</v>
      </c>
      <c r="B1345" s="326"/>
      <c r="C1345" s="326"/>
      <c r="D1345" s="326"/>
      <c r="E1345" s="326"/>
      <c r="F1345" s="326"/>
      <c r="G1345" s="326"/>
      <c r="H1345" s="326" t="s">
        <v>55</v>
      </c>
      <c r="I1345" s="326"/>
      <c r="J1345" s="326"/>
      <c r="K1345" s="326"/>
      <c r="L1345" s="326"/>
      <c r="M1345" s="326"/>
      <c r="N1345" s="326"/>
      <c r="O1345" s="326"/>
    </row>
    <row r="1346" spans="1:15" ht="13.5" customHeight="1" thickBot="1" x14ac:dyDescent="0.3"/>
    <row r="1347" spans="1:15" x14ac:dyDescent="0.25">
      <c r="A1347" s="327" t="s">
        <v>56</v>
      </c>
      <c r="B1347" s="322" t="s">
        <v>57</v>
      </c>
      <c r="C1347" s="322" t="s">
        <v>58</v>
      </c>
      <c r="D1347" s="322" t="s">
        <v>7</v>
      </c>
      <c r="E1347" s="322" t="s">
        <v>59</v>
      </c>
      <c r="F1347" s="322" t="s">
        <v>60</v>
      </c>
      <c r="G1347" s="50" t="s">
        <v>61</v>
      </c>
      <c r="H1347" s="327" t="s">
        <v>56</v>
      </c>
      <c r="I1347" s="322" t="s">
        <v>57</v>
      </c>
      <c r="J1347" s="322" t="s">
        <v>58</v>
      </c>
      <c r="K1347" s="322" t="s">
        <v>7</v>
      </c>
      <c r="L1347" s="322" t="s">
        <v>59</v>
      </c>
      <c r="M1347" s="322" t="s">
        <v>60</v>
      </c>
      <c r="N1347" s="322" t="s">
        <v>61</v>
      </c>
      <c r="O1347" s="324"/>
    </row>
    <row r="1348" spans="1:15" ht="15.75" thickBot="1" x14ac:dyDescent="0.3">
      <c r="A1348" s="328"/>
      <c r="B1348" s="323"/>
      <c r="C1348" s="323"/>
      <c r="D1348" s="323"/>
      <c r="E1348" s="323"/>
      <c r="F1348" s="323"/>
      <c r="G1348" s="51" t="s">
        <v>62</v>
      </c>
      <c r="H1348" s="328"/>
      <c r="I1348" s="323"/>
      <c r="J1348" s="323"/>
      <c r="K1348" s="323"/>
      <c r="L1348" s="323"/>
      <c r="M1348" s="323"/>
      <c r="N1348" s="51" t="s">
        <v>62</v>
      </c>
      <c r="O1348" s="52" t="s">
        <v>63</v>
      </c>
    </row>
    <row r="1349" spans="1:15" ht="12.75" customHeight="1" x14ac:dyDescent="0.25">
      <c r="A1349" s="344" t="e">
        <f>+A1320+1</f>
        <v>#REF!</v>
      </c>
      <c r="B1349" s="312">
        <v>42364</v>
      </c>
      <c r="C1349" s="314" t="s">
        <v>64</v>
      </c>
      <c r="D1349" s="314" t="s">
        <v>667</v>
      </c>
      <c r="E1349" s="318" t="s">
        <v>66</v>
      </c>
      <c r="F1349" s="320">
        <v>100000</v>
      </c>
      <c r="G1349" s="53">
        <v>719</v>
      </c>
      <c r="H1349" s="310" t="s">
        <v>668</v>
      </c>
      <c r="I1349" s="312">
        <v>42723</v>
      </c>
      <c r="J1349" s="314" t="s">
        <v>70</v>
      </c>
      <c r="K1349" s="318" t="s">
        <v>669</v>
      </c>
      <c r="L1349" s="318" t="s">
        <v>325</v>
      </c>
      <c r="M1349" s="320">
        <v>230000</v>
      </c>
      <c r="N1349" s="53">
        <v>719</v>
      </c>
      <c r="O1349" s="54">
        <v>230000</v>
      </c>
    </row>
    <row r="1350" spans="1:15" ht="13.5" customHeight="1" thickBot="1" x14ac:dyDescent="0.3">
      <c r="A1350" s="345"/>
      <c r="B1350" s="313"/>
      <c r="C1350" s="315"/>
      <c r="D1350" s="315"/>
      <c r="E1350" s="319"/>
      <c r="F1350" s="321"/>
      <c r="G1350" s="55">
        <v>721</v>
      </c>
      <c r="H1350" s="311"/>
      <c r="I1350" s="313"/>
      <c r="J1350" s="315"/>
      <c r="K1350" s="319"/>
      <c r="L1350" s="319"/>
      <c r="M1350" s="321"/>
      <c r="N1350" s="55">
        <v>723</v>
      </c>
      <c r="O1350" s="56">
        <f>+M1349-O1349</f>
        <v>0</v>
      </c>
    </row>
    <row r="1351" spans="1:15" ht="15" customHeight="1" x14ac:dyDescent="0.25">
      <c r="A1351" s="344" t="e">
        <f>+A1349+1</f>
        <v>#REF!</v>
      </c>
      <c r="B1351" s="312">
        <v>42364</v>
      </c>
      <c r="C1351" s="314" t="s">
        <v>548</v>
      </c>
      <c r="D1351" s="314" t="s">
        <v>670</v>
      </c>
      <c r="E1351" s="318" t="s">
        <v>66</v>
      </c>
      <c r="F1351" s="320">
        <v>40000</v>
      </c>
      <c r="G1351" s="53">
        <v>719</v>
      </c>
      <c r="H1351" s="318">
        <f>+H1349+1</f>
        <v>169</v>
      </c>
      <c r="I1351" s="312">
        <v>42723</v>
      </c>
      <c r="J1351" s="314" t="s">
        <v>70</v>
      </c>
      <c r="K1351" s="318" t="s">
        <v>671</v>
      </c>
      <c r="L1351" s="318" t="s">
        <v>325</v>
      </c>
      <c r="M1351" s="320">
        <v>90000</v>
      </c>
      <c r="N1351" s="53">
        <v>719</v>
      </c>
      <c r="O1351" s="54">
        <v>90000</v>
      </c>
    </row>
    <row r="1352" spans="1:15" ht="13.5" customHeight="1" thickBot="1" x14ac:dyDescent="0.3">
      <c r="A1352" s="345"/>
      <c r="B1352" s="313"/>
      <c r="C1352" s="315"/>
      <c r="D1352" s="315"/>
      <c r="E1352" s="319"/>
      <c r="F1352" s="321"/>
      <c r="G1352" s="55">
        <v>721</v>
      </c>
      <c r="H1352" s="319"/>
      <c r="I1352" s="313"/>
      <c r="J1352" s="315"/>
      <c r="K1352" s="319"/>
      <c r="L1352" s="319"/>
      <c r="M1352" s="321"/>
      <c r="N1352" s="55">
        <v>723</v>
      </c>
      <c r="O1352" s="56">
        <f>+M1351-O1351</f>
        <v>0</v>
      </c>
    </row>
    <row r="1353" spans="1:15" ht="14.25" customHeight="1" x14ac:dyDescent="0.25">
      <c r="A1353" s="344" t="e">
        <f>+A1351+1</f>
        <v>#REF!</v>
      </c>
      <c r="B1353" s="312">
        <v>42364</v>
      </c>
      <c r="C1353" s="314" t="s">
        <v>106</v>
      </c>
      <c r="D1353" s="314" t="s">
        <v>672</v>
      </c>
      <c r="E1353" s="318" t="s">
        <v>66</v>
      </c>
      <c r="F1353" s="320">
        <v>40000</v>
      </c>
      <c r="G1353" s="53">
        <v>719</v>
      </c>
      <c r="H1353" s="318">
        <f>+H1351+1</f>
        <v>170</v>
      </c>
      <c r="I1353" s="312">
        <v>42723</v>
      </c>
      <c r="J1353" s="314" t="s">
        <v>70</v>
      </c>
      <c r="K1353" s="318" t="s">
        <v>673</v>
      </c>
      <c r="L1353" s="318" t="s">
        <v>325</v>
      </c>
      <c r="M1353" s="320">
        <v>220000</v>
      </c>
      <c r="N1353" s="53">
        <v>719</v>
      </c>
      <c r="O1353" s="54">
        <v>220000</v>
      </c>
    </row>
    <row r="1354" spans="1:15" ht="13.5" customHeight="1" thickBot="1" x14ac:dyDescent="0.3">
      <c r="A1354" s="345"/>
      <c r="B1354" s="313"/>
      <c r="C1354" s="315"/>
      <c r="D1354" s="315"/>
      <c r="E1354" s="319"/>
      <c r="F1354" s="321"/>
      <c r="G1354" s="55">
        <v>721</v>
      </c>
      <c r="H1354" s="319"/>
      <c r="I1354" s="313"/>
      <c r="J1354" s="315"/>
      <c r="K1354" s="319"/>
      <c r="L1354" s="319"/>
      <c r="M1354" s="321"/>
      <c r="N1354" s="55">
        <v>723</v>
      </c>
      <c r="O1354" s="56">
        <f>+M1353-O1353</f>
        <v>0</v>
      </c>
    </row>
    <row r="1355" spans="1:15" ht="15" customHeight="1" x14ac:dyDescent="0.25">
      <c r="A1355" s="344" t="e">
        <f>+A1353+1</f>
        <v>#REF!</v>
      </c>
      <c r="B1355" s="312">
        <v>42364</v>
      </c>
      <c r="C1355" s="314" t="s">
        <v>251</v>
      </c>
      <c r="D1355" s="314" t="s">
        <v>674</v>
      </c>
      <c r="E1355" s="318" t="s">
        <v>66</v>
      </c>
      <c r="F1355" s="320">
        <v>20000</v>
      </c>
      <c r="G1355" s="53">
        <v>719</v>
      </c>
      <c r="H1355" s="318">
        <f>+H1353+1</f>
        <v>171</v>
      </c>
      <c r="I1355" s="312">
        <v>42723</v>
      </c>
      <c r="J1355" s="314" t="s">
        <v>70</v>
      </c>
      <c r="K1355" s="318" t="s">
        <v>675</v>
      </c>
      <c r="L1355" s="318" t="s">
        <v>325</v>
      </c>
      <c r="M1355" s="320">
        <v>80000</v>
      </c>
      <c r="N1355" s="53">
        <v>719</v>
      </c>
      <c r="O1355" s="54">
        <v>80000</v>
      </c>
    </row>
    <row r="1356" spans="1:15" ht="12" customHeight="1" thickBot="1" x14ac:dyDescent="0.3">
      <c r="A1356" s="345"/>
      <c r="B1356" s="313"/>
      <c r="C1356" s="315"/>
      <c r="D1356" s="315"/>
      <c r="E1356" s="319"/>
      <c r="F1356" s="321"/>
      <c r="G1356" s="55">
        <v>721</v>
      </c>
      <c r="H1356" s="319"/>
      <c r="I1356" s="313"/>
      <c r="J1356" s="315"/>
      <c r="K1356" s="319"/>
      <c r="L1356" s="319"/>
      <c r="M1356" s="321"/>
      <c r="N1356" s="55">
        <v>723</v>
      </c>
      <c r="O1356" s="56">
        <f>+M1355-O1355</f>
        <v>0</v>
      </c>
    </row>
    <row r="1357" spans="1:15" ht="14.25" customHeight="1" x14ac:dyDescent="0.25">
      <c r="A1357" s="344" t="e">
        <f>+A1355+1</f>
        <v>#REF!</v>
      </c>
      <c r="B1357" s="312">
        <v>42364</v>
      </c>
      <c r="C1357" s="314" t="s">
        <v>64</v>
      </c>
      <c r="D1357" s="314" t="s">
        <v>676</v>
      </c>
      <c r="E1357" s="318" t="s">
        <v>66</v>
      </c>
      <c r="F1357" s="320">
        <v>50000</v>
      </c>
      <c r="G1357" s="53">
        <v>719</v>
      </c>
      <c r="H1357" s="318">
        <f>+H1355+1</f>
        <v>172</v>
      </c>
      <c r="I1357" s="312">
        <v>42723</v>
      </c>
      <c r="J1357" s="314" t="s">
        <v>251</v>
      </c>
      <c r="K1357" s="318" t="s">
        <v>677</v>
      </c>
      <c r="L1357" s="318" t="s">
        <v>325</v>
      </c>
      <c r="M1357" s="320">
        <v>370000</v>
      </c>
      <c r="N1357" s="53">
        <v>719</v>
      </c>
      <c r="O1357" s="54">
        <v>370000</v>
      </c>
    </row>
    <row r="1358" spans="1:15" ht="12.75" customHeight="1" thickBot="1" x14ac:dyDescent="0.3">
      <c r="A1358" s="345"/>
      <c r="B1358" s="313"/>
      <c r="C1358" s="315"/>
      <c r="D1358" s="315"/>
      <c r="E1358" s="319"/>
      <c r="F1358" s="321"/>
      <c r="G1358" s="55">
        <v>721</v>
      </c>
      <c r="H1358" s="319"/>
      <c r="I1358" s="313"/>
      <c r="J1358" s="315"/>
      <c r="K1358" s="319"/>
      <c r="L1358" s="319"/>
      <c r="M1358" s="321"/>
      <c r="N1358" s="55">
        <v>723</v>
      </c>
      <c r="O1358" s="56">
        <f>+M1357-O1357</f>
        <v>0</v>
      </c>
    </row>
    <row r="1359" spans="1:15" ht="14.25" customHeight="1" thickBot="1" x14ac:dyDescent="0.3">
      <c r="A1359" s="344" t="e">
        <f>+A1357+1</f>
        <v>#REF!</v>
      </c>
      <c r="B1359" s="312">
        <v>42364</v>
      </c>
      <c r="C1359" s="314" t="s">
        <v>548</v>
      </c>
      <c r="D1359" s="314" t="s">
        <v>678</v>
      </c>
      <c r="E1359" s="318" t="s">
        <v>66</v>
      </c>
      <c r="F1359" s="320">
        <v>20000</v>
      </c>
      <c r="G1359" s="53">
        <v>719</v>
      </c>
      <c r="H1359" s="297" t="s">
        <v>80</v>
      </c>
      <c r="I1359" s="298"/>
      <c r="J1359" s="298"/>
      <c r="K1359" s="298"/>
      <c r="L1359" s="299"/>
      <c r="M1359" s="62">
        <f>SUM(M1349:M1358)</f>
        <v>990000</v>
      </c>
    </row>
    <row r="1360" spans="1:15" ht="14.25" customHeight="1" thickBot="1" x14ac:dyDescent="0.3">
      <c r="A1360" s="345"/>
      <c r="B1360" s="313"/>
      <c r="C1360" s="315"/>
      <c r="D1360" s="315"/>
      <c r="E1360" s="319"/>
      <c r="F1360" s="321"/>
      <c r="G1360" s="55">
        <v>721</v>
      </c>
      <c r="H1360" s="300" t="s">
        <v>81</v>
      </c>
      <c r="I1360" s="301"/>
      <c r="J1360" s="301"/>
      <c r="K1360" s="301"/>
      <c r="L1360" s="302"/>
      <c r="M1360" s="63">
        <f>+M1324</f>
        <v>101017981</v>
      </c>
      <c r="N1360" s="64" t="s">
        <v>82</v>
      </c>
      <c r="O1360" s="65">
        <f>754+171+406+173+423</f>
        <v>1927</v>
      </c>
    </row>
    <row r="1361" spans="1:15" ht="16.5" thickBot="1" x14ac:dyDescent="0.3">
      <c r="A1361" s="297" t="s">
        <v>80</v>
      </c>
      <c r="B1361" s="298"/>
      <c r="C1361" s="298"/>
      <c r="D1361" s="298"/>
      <c r="E1361" s="299"/>
      <c r="F1361" s="62">
        <f>SUM(F1349:F1360)</f>
        <v>270000</v>
      </c>
      <c r="H1361" s="303" t="s">
        <v>83</v>
      </c>
      <c r="I1361" s="304"/>
      <c r="J1361" s="304"/>
      <c r="K1361" s="304"/>
      <c r="L1361" s="305"/>
      <c r="M1361" s="66">
        <f>SUM(M1359:M1360)</f>
        <v>102007981</v>
      </c>
    </row>
    <row r="1362" spans="1:15" ht="12.75" customHeight="1" thickBot="1" x14ac:dyDescent="0.3">
      <c r="A1362" s="300" t="s">
        <v>81</v>
      </c>
      <c r="B1362" s="301"/>
      <c r="C1362" s="301"/>
      <c r="D1362" s="301"/>
      <c r="E1362" s="302"/>
      <c r="F1362" s="63" t="e">
        <f>+F1324</f>
        <v>#REF!</v>
      </c>
      <c r="H1362" s="67"/>
      <c r="I1362" s="67"/>
      <c r="J1362" s="67"/>
      <c r="K1362" s="67"/>
      <c r="L1362" s="67"/>
    </row>
    <row r="1363" spans="1:15" ht="16.5" thickBot="1" x14ac:dyDescent="0.3">
      <c r="A1363" s="303" t="s">
        <v>83</v>
      </c>
      <c r="B1363" s="304"/>
      <c r="C1363" s="304"/>
      <c r="D1363" s="304"/>
      <c r="E1363" s="305"/>
      <c r="F1363" s="66" t="e">
        <f>SUM(F1361:F1362)</f>
        <v>#REF!</v>
      </c>
      <c r="H1363" s="41" t="s">
        <v>679</v>
      </c>
    </row>
    <row r="1364" spans="1:15" ht="13.5" customHeight="1" x14ac:dyDescent="0.25">
      <c r="A1364" s="67"/>
      <c r="B1364" s="67"/>
      <c r="C1364" s="67"/>
      <c r="D1364" s="67"/>
      <c r="E1364" s="67"/>
      <c r="M1364" s="68"/>
    </row>
    <row r="1365" spans="1:15" x14ac:dyDescent="0.25">
      <c r="A1365" s="41" t="s">
        <v>680</v>
      </c>
      <c r="H1365" s="40" t="s">
        <v>86</v>
      </c>
      <c r="K1365" s="69"/>
      <c r="M1365" s="68"/>
    </row>
    <row r="1366" spans="1:15" ht="14.25" customHeight="1" thickBot="1" x14ac:dyDescent="0.3">
      <c r="F1366" s="68"/>
    </row>
    <row r="1367" spans="1:15" ht="15.75" thickBot="1" x14ac:dyDescent="0.3">
      <c r="A1367" s="40" t="s">
        <v>86</v>
      </c>
      <c r="D1367" s="69"/>
      <c r="F1367" s="68"/>
      <c r="H1367" s="306" t="s">
        <v>87</v>
      </c>
      <c r="I1367" s="307"/>
      <c r="J1367" s="307"/>
      <c r="K1367" s="308"/>
      <c r="M1367" s="40" t="s">
        <v>89</v>
      </c>
    </row>
    <row r="1368" spans="1:15" ht="28.5" customHeight="1" thickBot="1" x14ac:dyDescent="0.3">
      <c r="H1368" s="70" t="s">
        <v>62</v>
      </c>
      <c r="I1368" s="71" t="s">
        <v>90</v>
      </c>
      <c r="J1368" s="204" t="s">
        <v>91</v>
      </c>
      <c r="K1368" s="73" t="s">
        <v>92</v>
      </c>
    </row>
    <row r="1369" spans="1:15" ht="15.75" thickBot="1" x14ac:dyDescent="0.3">
      <c r="A1369" s="306" t="s">
        <v>87</v>
      </c>
      <c r="B1369" s="307"/>
      <c r="C1369" s="307"/>
      <c r="D1369" s="308"/>
      <c r="F1369" s="40" t="s">
        <v>89</v>
      </c>
      <c r="H1369" s="75">
        <v>719</v>
      </c>
      <c r="I1369" s="76">
        <f>+O1349+O1351+O1353+O1355+O1357</f>
        <v>990000</v>
      </c>
      <c r="J1369" s="77">
        <f>+K1332</f>
        <v>14360000</v>
      </c>
      <c r="K1369" s="79">
        <f>+I1369+J1369</f>
        <v>15350000</v>
      </c>
    </row>
    <row r="1370" spans="1:15" ht="14.25" customHeight="1" thickBot="1" x14ac:dyDescent="0.3">
      <c r="A1370" s="70" t="s">
        <v>62</v>
      </c>
      <c r="B1370" s="71" t="s">
        <v>90</v>
      </c>
      <c r="C1370" s="72" t="s">
        <v>91</v>
      </c>
      <c r="D1370" s="73" t="s">
        <v>92</v>
      </c>
      <c r="H1370" s="80">
        <v>721</v>
      </c>
      <c r="I1370" s="81">
        <v>0</v>
      </c>
      <c r="J1370" s="77">
        <f>+K1333</f>
        <v>79845481</v>
      </c>
      <c r="K1370" s="79">
        <f>+I1370+J1370</f>
        <v>79845481</v>
      </c>
    </row>
    <row r="1371" spans="1:15" ht="13.5" customHeight="1" x14ac:dyDescent="0.25">
      <c r="A1371" s="75">
        <v>719</v>
      </c>
      <c r="B1371" s="76" t="e">
        <f>+#REF!+#REF!+#REF!+#REF!+#REF!+#REF!+#REF!+#REF!</f>
        <v>#REF!</v>
      </c>
      <c r="C1371" s="77" t="e">
        <f>+D1332</f>
        <v>#REF!</v>
      </c>
      <c r="D1371" s="79" t="e">
        <f>+B1371+C1371</f>
        <v>#REF!</v>
      </c>
      <c r="H1371" s="80">
        <v>722</v>
      </c>
      <c r="I1371" s="81"/>
      <c r="J1371" s="77">
        <f>+K1334</f>
        <v>0</v>
      </c>
      <c r="K1371" s="79">
        <f>+I1371+J1371</f>
        <v>0</v>
      </c>
    </row>
    <row r="1372" spans="1:15" ht="15.75" x14ac:dyDescent="0.25">
      <c r="A1372" s="80">
        <v>721</v>
      </c>
      <c r="B1372" s="81" t="e">
        <f>(+#REF!+#REF!+#REF!+#REF!+#REF!)</f>
        <v>#REF!</v>
      </c>
      <c r="C1372" s="77" t="e">
        <f>+D1333</f>
        <v>#REF!</v>
      </c>
      <c r="D1372" s="79" t="e">
        <f>+B1372+C1372</f>
        <v>#REF!</v>
      </c>
      <c r="H1372" s="80">
        <v>723</v>
      </c>
      <c r="I1372" s="81"/>
      <c r="J1372" s="77">
        <f>+K1335</f>
        <v>6812500</v>
      </c>
      <c r="K1372" s="79">
        <f>+I1372+J1372</f>
        <v>6812500</v>
      </c>
      <c r="M1372" s="343" t="s">
        <v>640</v>
      </c>
      <c r="N1372" s="343"/>
      <c r="O1372" s="343"/>
    </row>
    <row r="1373" spans="1:15" ht="16.5" thickBot="1" x14ac:dyDescent="0.3">
      <c r="A1373" s="80">
        <v>722</v>
      </c>
      <c r="B1373" s="81"/>
      <c r="C1373" s="77" t="e">
        <f>+D1334</f>
        <v>#REF!</v>
      </c>
      <c r="D1373" s="79" t="e">
        <f>+B1373+C1373</f>
        <v>#REF!</v>
      </c>
      <c r="H1373" s="85" t="s">
        <v>94</v>
      </c>
      <c r="I1373" s="86"/>
      <c r="J1373" s="77" t="e">
        <f>+K1336</f>
        <v>#REF!</v>
      </c>
      <c r="K1373" s="89" t="e">
        <f>+I1373+J1373</f>
        <v>#REF!</v>
      </c>
      <c r="M1373" s="45"/>
    </row>
    <row r="1374" spans="1:15" ht="16.5" thickBot="1" x14ac:dyDescent="0.3">
      <c r="A1374" s="80">
        <v>723</v>
      </c>
      <c r="B1374" s="81"/>
      <c r="C1374" s="77" t="e">
        <f>+D1335</f>
        <v>#REF!</v>
      </c>
      <c r="D1374" s="79" t="e">
        <f>+B1374+C1374</f>
        <v>#REF!</v>
      </c>
      <c r="F1374" s="83" t="s">
        <v>93</v>
      </c>
      <c r="G1374" s="84"/>
      <c r="H1374" s="90"/>
      <c r="I1374" s="94">
        <f>SUM(I1369:I1373)</f>
        <v>990000</v>
      </c>
      <c r="J1374" s="94" t="e">
        <f>SUM(J1369:J1373)</f>
        <v>#REF!</v>
      </c>
      <c r="K1374" s="95" t="e">
        <f>SUM(K1369:K1373)</f>
        <v>#REF!</v>
      </c>
    </row>
    <row r="1375" spans="1:15" ht="17.25" thickBot="1" x14ac:dyDescent="0.3">
      <c r="A1375" s="85" t="s">
        <v>94</v>
      </c>
      <c r="B1375" s="86"/>
      <c r="C1375" s="77" t="e">
        <f>+D1336</f>
        <v>#REF!</v>
      </c>
      <c r="D1375" s="89" t="e">
        <f>+B1375+C1375</f>
        <v>#REF!</v>
      </c>
      <c r="F1375" s="45"/>
      <c r="H1375" s="39" t="s">
        <v>46</v>
      </c>
      <c r="I1375" s="40"/>
    </row>
    <row r="1376" spans="1:15" ht="16.5" thickBot="1" x14ac:dyDescent="0.3">
      <c r="A1376" s="90"/>
      <c r="B1376" s="91" t="e">
        <f>SUM(B1371:B1375)</f>
        <v>#REF!</v>
      </c>
      <c r="C1376" s="92" t="e">
        <f>SUM(C1371:C1375)</f>
        <v>#REF!</v>
      </c>
      <c r="D1376" s="93" t="e">
        <f>SUM(D1371:D1375)</f>
        <v>#REF!</v>
      </c>
      <c r="H1376" s="41" t="s">
        <v>47</v>
      </c>
    </row>
    <row r="1377" spans="1:15" ht="16.5" x14ac:dyDescent="0.25">
      <c r="A1377" s="39" t="s">
        <v>46</v>
      </c>
      <c r="B1377" s="40"/>
      <c r="H1377" s="41" t="s">
        <v>48</v>
      </c>
    </row>
    <row r="1378" spans="1:15" x14ac:dyDescent="0.25">
      <c r="A1378" s="41" t="s">
        <v>47</v>
      </c>
      <c r="H1378" s="41" t="s">
        <v>49</v>
      </c>
    </row>
    <row r="1379" spans="1:15" ht="11.25" customHeight="1" x14ac:dyDescent="0.25">
      <c r="A1379" s="41" t="s">
        <v>48</v>
      </c>
      <c r="H1379" s="40"/>
      <c r="I1379" s="40"/>
    </row>
    <row r="1380" spans="1:15" ht="16.5" x14ac:dyDescent="0.25">
      <c r="A1380" s="41" t="s">
        <v>49</v>
      </c>
      <c r="H1380" s="188" t="s">
        <v>681</v>
      </c>
      <c r="N1380" s="45"/>
    </row>
    <row r="1381" spans="1:15" ht="12.75" customHeight="1" x14ac:dyDescent="0.25">
      <c r="A1381" s="40"/>
      <c r="B1381" s="40"/>
      <c r="H1381" s="47" t="s">
        <v>622</v>
      </c>
      <c r="N1381" s="47"/>
    </row>
    <row r="1382" spans="1:15" ht="16.5" x14ac:dyDescent="0.25">
      <c r="A1382" s="45" t="s">
        <v>682</v>
      </c>
      <c r="G1382" s="45"/>
      <c r="H1382" s="326" t="s">
        <v>683</v>
      </c>
      <c r="I1382" s="326"/>
      <c r="J1382" s="326"/>
      <c r="K1382" s="326"/>
      <c r="L1382" s="326"/>
      <c r="M1382" s="326"/>
      <c r="N1382" s="326"/>
      <c r="O1382" s="326"/>
    </row>
    <row r="1383" spans="1:15" ht="16.5" thickBot="1" x14ac:dyDescent="0.3">
      <c r="A1383" s="47" t="s">
        <v>52</v>
      </c>
      <c r="G1383" s="47"/>
    </row>
    <row r="1384" spans="1:15" ht="16.5" x14ac:dyDescent="0.25">
      <c r="A1384" s="326" t="s">
        <v>201</v>
      </c>
      <c r="B1384" s="326"/>
      <c r="C1384" s="326"/>
      <c r="D1384" s="326"/>
      <c r="E1384" s="326"/>
      <c r="F1384" s="326"/>
      <c r="G1384" s="326"/>
      <c r="H1384" s="327" t="s">
        <v>56</v>
      </c>
      <c r="I1384" s="322" t="s">
        <v>57</v>
      </c>
      <c r="J1384" s="322" t="s">
        <v>58</v>
      </c>
      <c r="K1384" s="322" t="s">
        <v>7</v>
      </c>
      <c r="L1384" s="322" t="s">
        <v>59</v>
      </c>
      <c r="M1384" s="322" t="s">
        <v>60</v>
      </c>
      <c r="N1384" s="322" t="s">
        <v>61</v>
      </c>
      <c r="O1384" s="324"/>
    </row>
    <row r="1385" spans="1:15" ht="15.75" thickBot="1" x14ac:dyDescent="0.3">
      <c r="H1385" s="328"/>
      <c r="I1385" s="323"/>
      <c r="J1385" s="323"/>
      <c r="K1385" s="323"/>
      <c r="L1385" s="323"/>
      <c r="M1385" s="323"/>
      <c r="N1385" s="51" t="s">
        <v>62</v>
      </c>
      <c r="O1385" s="52" t="s">
        <v>63</v>
      </c>
    </row>
    <row r="1386" spans="1:15" ht="15" customHeight="1" x14ac:dyDescent="0.25">
      <c r="A1386" s="327" t="s">
        <v>56</v>
      </c>
      <c r="B1386" s="322" t="s">
        <v>57</v>
      </c>
      <c r="C1386" s="322" t="s">
        <v>58</v>
      </c>
      <c r="D1386" s="322" t="s">
        <v>7</v>
      </c>
      <c r="E1386" s="322" t="s">
        <v>59</v>
      </c>
      <c r="F1386" s="322" t="s">
        <v>60</v>
      </c>
      <c r="G1386" s="50" t="s">
        <v>61</v>
      </c>
      <c r="H1386" s="310" t="s">
        <v>684</v>
      </c>
      <c r="I1386" s="312">
        <v>42723</v>
      </c>
      <c r="J1386" s="314" t="s">
        <v>548</v>
      </c>
      <c r="K1386" s="318" t="s">
        <v>685</v>
      </c>
      <c r="L1386" s="318" t="s">
        <v>5</v>
      </c>
      <c r="M1386" s="320">
        <v>507000</v>
      </c>
      <c r="N1386" s="53">
        <v>719</v>
      </c>
      <c r="O1386" s="54">
        <v>390000</v>
      </c>
    </row>
    <row r="1387" spans="1:15" ht="15.75" customHeight="1" thickBot="1" x14ac:dyDescent="0.3">
      <c r="A1387" s="328"/>
      <c r="B1387" s="323"/>
      <c r="C1387" s="323"/>
      <c r="D1387" s="323"/>
      <c r="E1387" s="323"/>
      <c r="F1387" s="323"/>
      <c r="G1387" s="51" t="s">
        <v>62</v>
      </c>
      <c r="H1387" s="311"/>
      <c r="I1387" s="313"/>
      <c r="J1387" s="315"/>
      <c r="K1387" s="319"/>
      <c r="L1387" s="319"/>
      <c r="M1387" s="321"/>
      <c r="N1387" s="55">
        <v>721</v>
      </c>
      <c r="O1387" s="56">
        <f>+M1386-O1386</f>
        <v>117000</v>
      </c>
    </row>
    <row r="1388" spans="1:15" ht="15" customHeight="1" x14ac:dyDescent="0.25">
      <c r="A1388" s="344" t="e">
        <f>+A1359+1</f>
        <v>#REF!</v>
      </c>
      <c r="B1388" s="312">
        <v>42369</v>
      </c>
      <c r="C1388" s="314" t="s">
        <v>64</v>
      </c>
      <c r="D1388" s="314" t="s">
        <v>686</v>
      </c>
      <c r="E1388" s="318" t="s">
        <v>66</v>
      </c>
      <c r="F1388" s="320">
        <v>180000</v>
      </c>
      <c r="G1388" s="53">
        <v>719</v>
      </c>
      <c r="H1388" s="318">
        <f>+H1386+1</f>
        <v>174</v>
      </c>
      <c r="I1388" s="312">
        <v>42723</v>
      </c>
      <c r="J1388" s="314" t="s">
        <v>548</v>
      </c>
      <c r="K1388" s="318" t="s">
        <v>687</v>
      </c>
      <c r="L1388" s="318" t="s">
        <v>5</v>
      </c>
      <c r="M1388" s="320">
        <v>312000</v>
      </c>
      <c r="N1388" s="53">
        <v>719</v>
      </c>
      <c r="O1388" s="54">
        <v>240000</v>
      </c>
    </row>
    <row r="1389" spans="1:15" ht="15.75" customHeight="1" thickBot="1" x14ac:dyDescent="0.3">
      <c r="A1389" s="345"/>
      <c r="B1389" s="313"/>
      <c r="C1389" s="315"/>
      <c r="D1389" s="315"/>
      <c r="E1389" s="319"/>
      <c r="F1389" s="321"/>
      <c r="G1389" s="55">
        <v>721</v>
      </c>
      <c r="H1389" s="319"/>
      <c r="I1389" s="313"/>
      <c r="J1389" s="315"/>
      <c r="K1389" s="319"/>
      <c r="L1389" s="319"/>
      <c r="M1389" s="321"/>
      <c r="N1389" s="55">
        <v>721</v>
      </c>
      <c r="O1389" s="56">
        <f>+M1388-O1388</f>
        <v>72000</v>
      </c>
    </row>
    <row r="1390" spans="1:15" ht="15" customHeight="1" x14ac:dyDescent="0.25">
      <c r="A1390" s="344" t="e">
        <f>+A1388+1</f>
        <v>#REF!</v>
      </c>
      <c r="B1390" s="312">
        <v>42369</v>
      </c>
      <c r="C1390" s="314" t="s">
        <v>548</v>
      </c>
      <c r="D1390" s="314" t="s">
        <v>688</v>
      </c>
      <c r="E1390" s="318" t="s">
        <v>66</v>
      </c>
      <c r="F1390" s="320">
        <v>40000</v>
      </c>
      <c r="G1390" s="53">
        <v>719</v>
      </c>
      <c r="H1390" s="318">
        <f>+H1388+1</f>
        <v>175</v>
      </c>
      <c r="I1390" s="312">
        <v>42723</v>
      </c>
      <c r="J1390" s="314" t="s">
        <v>548</v>
      </c>
      <c r="K1390" s="318" t="s">
        <v>689</v>
      </c>
      <c r="L1390" s="318" t="s">
        <v>5</v>
      </c>
      <c r="M1390" s="320">
        <v>338000</v>
      </c>
      <c r="N1390" s="53">
        <v>719</v>
      </c>
      <c r="O1390" s="54">
        <v>260000</v>
      </c>
    </row>
    <row r="1391" spans="1:15" ht="15.75" customHeight="1" thickBot="1" x14ac:dyDescent="0.3">
      <c r="A1391" s="345"/>
      <c r="B1391" s="313"/>
      <c r="C1391" s="315"/>
      <c r="D1391" s="315"/>
      <c r="E1391" s="319"/>
      <c r="F1391" s="321"/>
      <c r="G1391" s="55">
        <v>721</v>
      </c>
      <c r="H1391" s="319"/>
      <c r="I1391" s="313"/>
      <c r="J1391" s="315"/>
      <c r="K1391" s="319"/>
      <c r="L1391" s="319"/>
      <c r="M1391" s="321"/>
      <c r="N1391" s="55">
        <v>721</v>
      </c>
      <c r="O1391" s="56">
        <f>+M1390-O1390</f>
        <v>78000</v>
      </c>
    </row>
    <row r="1392" spans="1:15" ht="11.25" customHeight="1" x14ac:dyDescent="0.25">
      <c r="A1392" s="344" t="e">
        <f>+A1390+1</f>
        <v>#REF!</v>
      </c>
      <c r="B1392" s="312">
        <v>42369</v>
      </c>
      <c r="C1392" s="314" t="s">
        <v>106</v>
      </c>
      <c r="D1392" s="314" t="s">
        <v>690</v>
      </c>
      <c r="E1392" s="318" t="s">
        <v>66</v>
      </c>
      <c r="F1392" s="320">
        <v>40000</v>
      </c>
      <c r="G1392" s="53">
        <v>719</v>
      </c>
      <c r="H1392" s="318"/>
      <c r="I1392" s="312"/>
      <c r="J1392" s="314"/>
      <c r="K1392" s="318"/>
      <c r="L1392" s="318"/>
      <c r="M1392" s="320"/>
      <c r="N1392" s="53">
        <v>719</v>
      </c>
      <c r="O1392" s="54"/>
    </row>
    <row r="1393" spans="1:15" ht="13.5" customHeight="1" thickBot="1" x14ac:dyDescent="0.3">
      <c r="A1393" s="345"/>
      <c r="B1393" s="313"/>
      <c r="C1393" s="315"/>
      <c r="D1393" s="315"/>
      <c r="E1393" s="319"/>
      <c r="F1393" s="321"/>
      <c r="G1393" s="55">
        <v>721</v>
      </c>
      <c r="H1393" s="319"/>
      <c r="I1393" s="313"/>
      <c r="J1393" s="315"/>
      <c r="K1393" s="319"/>
      <c r="L1393" s="319"/>
      <c r="M1393" s="321"/>
      <c r="N1393" s="55">
        <v>721</v>
      </c>
      <c r="O1393" s="56">
        <f>+M1392-O1392</f>
        <v>0</v>
      </c>
    </row>
    <row r="1394" spans="1:15" ht="12.75" customHeight="1" x14ac:dyDescent="0.25">
      <c r="A1394" s="344" t="e">
        <f>+A1392+1</f>
        <v>#REF!</v>
      </c>
      <c r="B1394" s="312">
        <v>42369</v>
      </c>
      <c r="C1394" s="314" t="s">
        <v>251</v>
      </c>
      <c r="D1394" s="314" t="s">
        <v>691</v>
      </c>
      <c r="E1394" s="318" t="s">
        <v>66</v>
      </c>
      <c r="F1394" s="320">
        <v>20000</v>
      </c>
      <c r="G1394" s="53">
        <v>719</v>
      </c>
      <c r="H1394" s="318"/>
      <c r="I1394" s="312"/>
      <c r="J1394" s="314"/>
      <c r="K1394" s="318"/>
      <c r="L1394" s="318"/>
      <c r="M1394" s="320"/>
      <c r="N1394" s="53">
        <v>719</v>
      </c>
      <c r="O1394" s="54"/>
    </row>
    <row r="1395" spans="1:15" ht="12.75" customHeight="1" thickBot="1" x14ac:dyDescent="0.3">
      <c r="A1395" s="345"/>
      <c r="B1395" s="313"/>
      <c r="C1395" s="315"/>
      <c r="D1395" s="315"/>
      <c r="E1395" s="319"/>
      <c r="F1395" s="321"/>
      <c r="G1395" s="55">
        <v>721</v>
      </c>
      <c r="H1395" s="319"/>
      <c r="I1395" s="313"/>
      <c r="J1395" s="315"/>
      <c r="K1395" s="319"/>
      <c r="L1395" s="319"/>
      <c r="M1395" s="321"/>
      <c r="N1395" s="55">
        <v>721</v>
      </c>
      <c r="O1395" s="56">
        <f>+M1394-O1394</f>
        <v>0</v>
      </c>
    </row>
    <row r="1396" spans="1:15" ht="15" customHeight="1" thickBot="1" x14ac:dyDescent="0.3">
      <c r="A1396" s="344"/>
      <c r="B1396" s="312"/>
      <c r="C1396" s="314"/>
      <c r="D1396" s="314"/>
      <c r="E1396" s="318"/>
      <c r="F1396" s="320"/>
      <c r="G1396" s="53">
        <v>719</v>
      </c>
      <c r="H1396" s="297" t="s">
        <v>80</v>
      </c>
      <c r="I1396" s="298"/>
      <c r="J1396" s="298"/>
      <c r="K1396" s="298"/>
      <c r="L1396" s="299"/>
      <c r="M1396" s="62">
        <f>SUM(M1386:M1395)</f>
        <v>1157000</v>
      </c>
    </row>
    <row r="1397" spans="1:15" ht="15.75" customHeight="1" thickBot="1" x14ac:dyDescent="0.3">
      <c r="A1397" s="345"/>
      <c r="B1397" s="313"/>
      <c r="C1397" s="315"/>
      <c r="D1397" s="315"/>
      <c r="E1397" s="319"/>
      <c r="F1397" s="321"/>
      <c r="G1397" s="55">
        <v>721</v>
      </c>
      <c r="H1397" s="300" t="s">
        <v>81</v>
      </c>
      <c r="I1397" s="301"/>
      <c r="J1397" s="301"/>
      <c r="K1397" s="301"/>
      <c r="L1397" s="302"/>
      <c r="M1397" s="63">
        <f>+M1361</f>
        <v>102007981</v>
      </c>
      <c r="N1397" s="64" t="s">
        <v>82</v>
      </c>
      <c r="O1397" s="65">
        <f>753+65+288</f>
        <v>1106</v>
      </c>
    </row>
    <row r="1398" spans="1:15" ht="15" customHeight="1" thickBot="1" x14ac:dyDescent="0.3">
      <c r="A1398" s="297" t="s">
        <v>80</v>
      </c>
      <c r="B1398" s="298"/>
      <c r="C1398" s="298"/>
      <c r="D1398" s="298"/>
      <c r="E1398" s="299"/>
      <c r="F1398" s="62">
        <f>SUM(F1388:F1397)</f>
        <v>280000</v>
      </c>
      <c r="H1398" s="303" t="s">
        <v>83</v>
      </c>
      <c r="I1398" s="304"/>
      <c r="J1398" s="304"/>
      <c r="K1398" s="304"/>
      <c r="L1398" s="305"/>
      <c r="M1398" s="66">
        <f>SUM(M1396:M1397)</f>
        <v>103164981</v>
      </c>
    </row>
    <row r="1399" spans="1:15" ht="15.75" customHeight="1" thickBot="1" x14ac:dyDescent="0.3">
      <c r="A1399" s="300" t="s">
        <v>81</v>
      </c>
      <c r="B1399" s="301"/>
      <c r="C1399" s="301"/>
      <c r="D1399" s="301"/>
      <c r="E1399" s="302"/>
      <c r="F1399" s="63" t="e">
        <f>+F1363</f>
        <v>#REF!</v>
      </c>
      <c r="H1399" s="67"/>
      <c r="I1399" s="67"/>
      <c r="J1399" s="67"/>
      <c r="K1399" s="67"/>
      <c r="L1399" s="67"/>
    </row>
    <row r="1400" spans="1:15" ht="16.5" thickBot="1" x14ac:dyDescent="0.3">
      <c r="A1400" s="303" t="s">
        <v>83</v>
      </c>
      <c r="B1400" s="304"/>
      <c r="C1400" s="304"/>
      <c r="D1400" s="304"/>
      <c r="E1400" s="305"/>
      <c r="F1400" s="66" t="e">
        <f>SUM(F1398:F1399)</f>
        <v>#REF!</v>
      </c>
      <c r="H1400" s="41" t="s">
        <v>692</v>
      </c>
    </row>
    <row r="1401" spans="1:15" ht="12" customHeight="1" x14ac:dyDescent="0.25">
      <c r="A1401" s="67"/>
      <c r="B1401" s="67"/>
      <c r="C1401" s="67"/>
      <c r="D1401" s="67"/>
      <c r="E1401" s="67"/>
      <c r="M1401" s="68"/>
    </row>
    <row r="1402" spans="1:15" x14ac:dyDescent="0.25">
      <c r="A1402" s="41" t="s">
        <v>693</v>
      </c>
      <c r="H1402" s="40" t="s">
        <v>86</v>
      </c>
      <c r="K1402" s="69"/>
      <c r="M1402" s="68"/>
    </row>
    <row r="1403" spans="1:15" ht="14.25" customHeight="1" thickBot="1" x14ac:dyDescent="0.3">
      <c r="F1403" s="68"/>
    </row>
    <row r="1404" spans="1:15" ht="15.75" thickBot="1" x14ac:dyDescent="0.3">
      <c r="A1404" s="40" t="s">
        <v>86</v>
      </c>
      <c r="D1404" s="69"/>
      <c r="F1404" s="68"/>
      <c r="H1404" s="306" t="s">
        <v>87</v>
      </c>
      <c r="I1404" s="307"/>
      <c r="J1404" s="307"/>
      <c r="K1404" s="308"/>
      <c r="M1404" s="40" t="s">
        <v>89</v>
      </c>
    </row>
    <row r="1405" spans="1:15" ht="11.25" customHeight="1" thickBot="1" x14ac:dyDescent="0.3">
      <c r="H1405" s="70" t="s">
        <v>62</v>
      </c>
      <c r="I1405" s="71" t="s">
        <v>90</v>
      </c>
      <c r="J1405" s="204" t="s">
        <v>91</v>
      </c>
      <c r="K1405" s="73" t="s">
        <v>92</v>
      </c>
    </row>
    <row r="1406" spans="1:15" ht="15.75" thickBot="1" x14ac:dyDescent="0.3">
      <c r="A1406" s="306" t="s">
        <v>87</v>
      </c>
      <c r="B1406" s="307"/>
      <c r="C1406" s="307"/>
      <c r="D1406" s="308"/>
      <c r="F1406" s="40" t="s">
        <v>89</v>
      </c>
      <c r="H1406" s="75">
        <v>719</v>
      </c>
      <c r="I1406" s="76">
        <f>+O1386+O1388+O1390+O1392+O1394</f>
        <v>890000</v>
      </c>
      <c r="J1406" s="77">
        <f>+K1369</f>
        <v>15350000</v>
      </c>
      <c r="K1406" s="79">
        <f>+I1406+J1406</f>
        <v>16240000</v>
      </c>
    </row>
    <row r="1407" spans="1:15" ht="12.75" customHeight="1" thickBot="1" x14ac:dyDescent="0.3">
      <c r="A1407" s="70" t="s">
        <v>62</v>
      </c>
      <c r="B1407" s="71" t="s">
        <v>90</v>
      </c>
      <c r="C1407" s="72" t="s">
        <v>91</v>
      </c>
      <c r="D1407" s="73" t="s">
        <v>92</v>
      </c>
      <c r="H1407" s="80">
        <v>721</v>
      </c>
      <c r="I1407" s="81">
        <f>+O1387+O1389+O1391</f>
        <v>267000</v>
      </c>
      <c r="J1407" s="77">
        <f>+K1370</f>
        <v>79845481</v>
      </c>
      <c r="K1407" s="79">
        <f>+I1407+J1407</f>
        <v>80112481</v>
      </c>
    </row>
    <row r="1408" spans="1:15" x14ac:dyDescent="0.25">
      <c r="A1408" s="75">
        <v>719</v>
      </c>
      <c r="B1408" s="76" t="e">
        <f>+#REF!+#REF!+#REF!+#REF!+#REF!</f>
        <v>#REF!</v>
      </c>
      <c r="C1408" s="77" t="e">
        <f>+D1371</f>
        <v>#REF!</v>
      </c>
      <c r="D1408" s="79" t="e">
        <f>+B1408+C1408</f>
        <v>#REF!</v>
      </c>
      <c r="H1408" s="80">
        <v>722</v>
      </c>
      <c r="I1408" s="81"/>
      <c r="J1408" s="77">
        <f>+K1371</f>
        <v>0</v>
      </c>
      <c r="K1408" s="79">
        <f>+I1408+J1408</f>
        <v>0</v>
      </c>
    </row>
    <row r="1409" spans="1:15" ht="15.75" x14ac:dyDescent="0.25">
      <c r="A1409" s="80">
        <v>721</v>
      </c>
      <c r="B1409" s="81" t="e">
        <f>(+#REF!+#REF!+#REF!+#REF!+#REF!)</f>
        <v>#REF!</v>
      </c>
      <c r="C1409" s="77" t="e">
        <f>+D1372</f>
        <v>#REF!</v>
      </c>
      <c r="D1409" s="79" t="e">
        <f>+B1409+C1409</f>
        <v>#REF!</v>
      </c>
      <c r="H1409" s="80">
        <v>723</v>
      </c>
      <c r="I1409" s="81"/>
      <c r="J1409" s="77">
        <f>+K1372</f>
        <v>6812500</v>
      </c>
      <c r="K1409" s="79">
        <f>+I1409+J1409</f>
        <v>6812500</v>
      </c>
      <c r="M1409" s="343" t="s">
        <v>640</v>
      </c>
      <c r="N1409" s="343"/>
      <c r="O1409" s="343"/>
    </row>
    <row r="1410" spans="1:15" ht="16.5" thickBot="1" x14ac:dyDescent="0.3">
      <c r="A1410" s="80">
        <v>722</v>
      </c>
      <c r="B1410" s="81"/>
      <c r="C1410" s="77" t="e">
        <f>+D1373</f>
        <v>#REF!</v>
      </c>
      <c r="D1410" s="79" t="e">
        <f>+B1410+C1410</f>
        <v>#REF!</v>
      </c>
      <c r="H1410" s="85" t="s">
        <v>94</v>
      </c>
      <c r="I1410" s="86"/>
      <c r="J1410" s="77" t="e">
        <f>+K1373</f>
        <v>#REF!</v>
      </c>
      <c r="K1410" s="89" t="e">
        <f>+I1410+J1410</f>
        <v>#REF!</v>
      </c>
      <c r="M1410" s="45"/>
    </row>
    <row r="1411" spans="1:15" ht="16.5" thickBot="1" x14ac:dyDescent="0.3">
      <c r="A1411" s="80">
        <v>723</v>
      </c>
      <c r="B1411" s="81"/>
      <c r="C1411" s="77" t="e">
        <f>+D1374</f>
        <v>#REF!</v>
      </c>
      <c r="D1411" s="79" t="e">
        <f>+B1411+C1411</f>
        <v>#REF!</v>
      </c>
      <c r="F1411" s="83" t="s">
        <v>93</v>
      </c>
      <c r="G1411" s="84"/>
      <c r="H1411" s="90"/>
      <c r="I1411" s="94">
        <f>SUM(I1406:I1410)</f>
        <v>1157000</v>
      </c>
      <c r="J1411" s="94" t="e">
        <f>SUM(J1406:J1410)</f>
        <v>#REF!</v>
      </c>
      <c r="K1411" s="95" t="e">
        <f>SUM(K1406:K1410)</f>
        <v>#REF!</v>
      </c>
    </row>
    <row r="1412" spans="1:15" ht="17.25" thickBot="1" x14ac:dyDescent="0.3">
      <c r="A1412" s="85" t="s">
        <v>94</v>
      </c>
      <c r="B1412" s="86"/>
      <c r="C1412" s="77" t="e">
        <f>+D1375</f>
        <v>#REF!</v>
      </c>
      <c r="D1412" s="89" t="e">
        <f>+B1412+C1412</f>
        <v>#REF!</v>
      </c>
      <c r="F1412" s="45"/>
      <c r="H1412" s="39" t="s">
        <v>46</v>
      </c>
      <c r="I1412" s="40"/>
    </row>
    <row r="1413" spans="1:15" ht="16.5" thickBot="1" x14ac:dyDescent="0.3">
      <c r="A1413" s="90"/>
      <c r="B1413" s="91" t="e">
        <f>SUM(B1408:B1412)</f>
        <v>#REF!</v>
      </c>
      <c r="C1413" s="92" t="e">
        <f>SUM(C1408:C1412)</f>
        <v>#REF!</v>
      </c>
      <c r="D1413" s="93" t="e">
        <f>SUM(D1408:D1412)</f>
        <v>#REF!</v>
      </c>
      <c r="H1413" s="41" t="s">
        <v>47</v>
      </c>
    </row>
    <row r="1414" spans="1:15" ht="16.5" x14ac:dyDescent="0.25">
      <c r="A1414" s="39" t="s">
        <v>46</v>
      </c>
      <c r="B1414" s="40"/>
      <c r="H1414" s="41" t="s">
        <v>48</v>
      </c>
    </row>
    <row r="1415" spans="1:15" x14ac:dyDescent="0.25">
      <c r="A1415" s="41" t="s">
        <v>47</v>
      </c>
      <c r="H1415" s="41" t="s">
        <v>49</v>
      </c>
    </row>
    <row r="1416" spans="1:15" x14ac:dyDescent="0.25">
      <c r="A1416" s="41" t="s">
        <v>48</v>
      </c>
      <c r="H1416" s="40"/>
      <c r="I1416" s="40"/>
    </row>
    <row r="1417" spans="1:15" ht="16.5" x14ac:dyDescent="0.25">
      <c r="A1417" s="41" t="s">
        <v>49</v>
      </c>
      <c r="H1417" s="188" t="s">
        <v>694</v>
      </c>
      <c r="N1417" s="45"/>
    </row>
    <row r="1418" spans="1:15" ht="15" customHeight="1" x14ac:dyDescent="0.25">
      <c r="A1418" s="40"/>
      <c r="B1418" s="40"/>
      <c r="H1418" s="47" t="s">
        <v>622</v>
      </c>
      <c r="N1418" s="47"/>
    </row>
    <row r="1419" spans="1:15" ht="16.5" x14ac:dyDescent="0.25">
      <c r="A1419" s="45" t="s">
        <v>695</v>
      </c>
      <c r="G1419" s="45"/>
      <c r="H1419" s="326" t="s">
        <v>696</v>
      </c>
      <c r="I1419" s="326"/>
      <c r="J1419" s="326"/>
      <c r="K1419" s="326"/>
      <c r="L1419" s="326"/>
      <c r="M1419" s="326"/>
      <c r="N1419" s="326"/>
      <c r="O1419" s="326"/>
    </row>
    <row r="1420" spans="1:15" ht="12" customHeight="1" thickBot="1" x14ac:dyDescent="0.3">
      <c r="A1420" s="47" t="s">
        <v>52</v>
      </c>
      <c r="G1420" s="47"/>
    </row>
    <row r="1421" spans="1:15" ht="16.5" x14ac:dyDescent="0.25">
      <c r="A1421" s="326" t="s">
        <v>201</v>
      </c>
      <c r="B1421" s="326"/>
      <c r="C1421" s="326"/>
      <c r="D1421" s="326"/>
      <c r="E1421" s="326"/>
      <c r="F1421" s="326"/>
      <c r="G1421" s="326"/>
      <c r="H1421" s="327" t="s">
        <v>56</v>
      </c>
      <c r="I1421" s="322" t="s">
        <v>57</v>
      </c>
      <c r="J1421" s="322" t="s">
        <v>58</v>
      </c>
      <c r="K1421" s="322" t="s">
        <v>7</v>
      </c>
      <c r="L1421" s="322" t="s">
        <v>59</v>
      </c>
      <c r="M1421" s="322" t="s">
        <v>60</v>
      </c>
      <c r="N1421" s="322" t="s">
        <v>61</v>
      </c>
      <c r="O1421" s="324"/>
    </row>
    <row r="1422" spans="1:15" ht="15.75" thickBot="1" x14ac:dyDescent="0.3">
      <c r="H1422" s="328"/>
      <c r="I1422" s="323"/>
      <c r="J1422" s="323"/>
      <c r="K1422" s="323"/>
      <c r="L1422" s="323"/>
      <c r="M1422" s="323"/>
      <c r="N1422" s="51" t="s">
        <v>62</v>
      </c>
      <c r="O1422" s="52" t="s">
        <v>63</v>
      </c>
    </row>
    <row r="1423" spans="1:15" ht="13.5" customHeight="1" x14ac:dyDescent="0.25">
      <c r="A1423" s="327" t="s">
        <v>56</v>
      </c>
      <c r="B1423" s="322" t="s">
        <v>57</v>
      </c>
      <c r="C1423" s="322" t="s">
        <v>58</v>
      </c>
      <c r="D1423" s="322" t="s">
        <v>7</v>
      </c>
      <c r="E1423" s="322" t="s">
        <v>59</v>
      </c>
      <c r="F1423" s="322" t="s">
        <v>60</v>
      </c>
      <c r="G1423" s="50" t="s">
        <v>61</v>
      </c>
      <c r="H1423" s="310" t="s">
        <v>697</v>
      </c>
      <c r="I1423" s="312">
        <v>43088</v>
      </c>
      <c r="J1423" s="314" t="s">
        <v>548</v>
      </c>
      <c r="K1423" s="318" t="s">
        <v>656</v>
      </c>
      <c r="L1423" s="318" t="s">
        <v>5</v>
      </c>
      <c r="M1423" s="320">
        <v>-637000</v>
      </c>
      <c r="N1423" s="53">
        <v>719</v>
      </c>
      <c r="O1423" s="54">
        <v>-490000</v>
      </c>
    </row>
    <row r="1424" spans="1:15" ht="12.75" customHeight="1" thickBot="1" x14ac:dyDescent="0.3">
      <c r="A1424" s="328"/>
      <c r="B1424" s="323"/>
      <c r="C1424" s="323"/>
      <c r="D1424" s="323"/>
      <c r="E1424" s="323"/>
      <c r="F1424" s="323"/>
      <c r="G1424" s="51" t="s">
        <v>62</v>
      </c>
      <c r="H1424" s="311"/>
      <c r="I1424" s="313"/>
      <c r="J1424" s="315"/>
      <c r="K1424" s="319"/>
      <c r="L1424" s="319"/>
      <c r="M1424" s="321"/>
      <c r="N1424" s="55">
        <v>721</v>
      </c>
      <c r="O1424" s="56">
        <f>+M1423-O1423</f>
        <v>-147000</v>
      </c>
    </row>
    <row r="1425" spans="1:15" ht="13.5" customHeight="1" x14ac:dyDescent="0.25">
      <c r="A1425" s="344" t="e">
        <f>+A1394+1</f>
        <v>#REF!</v>
      </c>
      <c r="B1425" s="312">
        <v>42369</v>
      </c>
      <c r="C1425" s="314" t="s">
        <v>221</v>
      </c>
      <c r="D1425" s="314" t="s">
        <v>698</v>
      </c>
      <c r="E1425" s="318" t="s">
        <v>5</v>
      </c>
      <c r="F1425" s="320">
        <v>224000</v>
      </c>
      <c r="G1425" s="53">
        <v>719</v>
      </c>
      <c r="H1425" s="310" t="s">
        <v>699</v>
      </c>
      <c r="I1425" s="312">
        <v>43088</v>
      </c>
      <c r="J1425" s="314" t="s">
        <v>548</v>
      </c>
      <c r="K1425" s="318" t="s">
        <v>658</v>
      </c>
      <c r="L1425" s="318" t="s">
        <v>5</v>
      </c>
      <c r="M1425" s="320">
        <v>-572000</v>
      </c>
      <c r="N1425" s="53">
        <v>719</v>
      </c>
      <c r="O1425" s="54">
        <v>-440000</v>
      </c>
    </row>
    <row r="1426" spans="1:15" ht="13.5" customHeight="1" thickBot="1" x14ac:dyDescent="0.3">
      <c r="A1426" s="345"/>
      <c r="B1426" s="313"/>
      <c r="C1426" s="315"/>
      <c r="D1426" s="315"/>
      <c r="E1426" s="319"/>
      <c r="F1426" s="321"/>
      <c r="G1426" s="55">
        <v>721</v>
      </c>
      <c r="H1426" s="311"/>
      <c r="I1426" s="313"/>
      <c r="J1426" s="315"/>
      <c r="K1426" s="319"/>
      <c r="L1426" s="319"/>
      <c r="M1426" s="321"/>
      <c r="N1426" s="55">
        <v>723</v>
      </c>
      <c r="O1426" s="56">
        <f>+M1425-O1425</f>
        <v>-132000</v>
      </c>
    </row>
    <row r="1427" spans="1:15" ht="12.75" customHeight="1" x14ac:dyDescent="0.25">
      <c r="A1427" s="344" t="e">
        <f>+A1425+1</f>
        <v>#REF!</v>
      </c>
      <c r="B1427" s="312">
        <v>42369</v>
      </c>
      <c r="C1427" s="318" t="s">
        <v>70</v>
      </c>
      <c r="D1427" s="314" t="s">
        <v>698</v>
      </c>
      <c r="E1427" s="318" t="s">
        <v>5</v>
      </c>
      <c r="F1427" s="320">
        <v>224000</v>
      </c>
      <c r="G1427" s="53">
        <v>719</v>
      </c>
      <c r="H1427" s="310" t="s">
        <v>327</v>
      </c>
      <c r="I1427" s="312">
        <v>43088</v>
      </c>
      <c r="J1427" s="314" t="s">
        <v>548</v>
      </c>
      <c r="K1427" s="318" t="s">
        <v>659</v>
      </c>
      <c r="L1427" s="318" t="s">
        <v>5</v>
      </c>
      <c r="M1427" s="320">
        <v>-481000</v>
      </c>
      <c r="N1427" s="53">
        <v>719</v>
      </c>
      <c r="O1427" s="54">
        <v>-370000</v>
      </c>
    </row>
    <row r="1428" spans="1:15" ht="14.25" customHeight="1" thickBot="1" x14ac:dyDescent="0.3">
      <c r="A1428" s="345"/>
      <c r="B1428" s="313"/>
      <c r="C1428" s="319"/>
      <c r="D1428" s="315"/>
      <c r="E1428" s="319"/>
      <c r="F1428" s="321"/>
      <c r="G1428" s="55">
        <v>721</v>
      </c>
      <c r="H1428" s="311"/>
      <c r="I1428" s="313"/>
      <c r="J1428" s="315"/>
      <c r="K1428" s="319"/>
      <c r="L1428" s="319"/>
      <c r="M1428" s="321"/>
      <c r="N1428" s="55">
        <v>723</v>
      </c>
      <c r="O1428" s="56">
        <f>+M1427-O1427</f>
        <v>-111000</v>
      </c>
    </row>
    <row r="1429" spans="1:15" ht="12.75" customHeight="1" x14ac:dyDescent="0.25">
      <c r="A1429" s="344" t="e">
        <f>+A1427+1</f>
        <v>#REF!</v>
      </c>
      <c r="B1429" s="312">
        <v>42369</v>
      </c>
      <c r="C1429" s="314" t="s">
        <v>106</v>
      </c>
      <c r="D1429" s="314" t="s">
        <v>690</v>
      </c>
      <c r="E1429" s="318" t="s">
        <v>5</v>
      </c>
      <c r="F1429" s="320">
        <v>154000</v>
      </c>
      <c r="G1429" s="53">
        <v>719</v>
      </c>
      <c r="H1429" s="310" t="s">
        <v>323</v>
      </c>
      <c r="I1429" s="312">
        <v>43088</v>
      </c>
      <c r="J1429" s="314" t="s">
        <v>548</v>
      </c>
      <c r="K1429" s="318" t="s">
        <v>661</v>
      </c>
      <c r="L1429" s="318" t="s">
        <v>5</v>
      </c>
      <c r="M1429" s="320">
        <v>-403000</v>
      </c>
      <c r="N1429" s="53">
        <v>719</v>
      </c>
      <c r="O1429" s="54">
        <v>-310000</v>
      </c>
    </row>
    <row r="1430" spans="1:15" ht="12.75" customHeight="1" thickBot="1" x14ac:dyDescent="0.3">
      <c r="A1430" s="345"/>
      <c r="B1430" s="313"/>
      <c r="C1430" s="315"/>
      <c r="D1430" s="315"/>
      <c r="E1430" s="319"/>
      <c r="F1430" s="321"/>
      <c r="G1430" s="55">
        <v>721</v>
      </c>
      <c r="H1430" s="311"/>
      <c r="I1430" s="313"/>
      <c r="J1430" s="315"/>
      <c r="K1430" s="319"/>
      <c r="L1430" s="319"/>
      <c r="M1430" s="321"/>
      <c r="N1430" s="55">
        <v>722</v>
      </c>
      <c r="O1430" s="56">
        <f>+M1429-O1429</f>
        <v>-93000</v>
      </c>
    </row>
    <row r="1431" spans="1:15" ht="12.75" customHeight="1" x14ac:dyDescent="0.25">
      <c r="A1431" s="344" t="e">
        <f>+A1429+1</f>
        <v>#REF!</v>
      </c>
      <c r="B1431" s="312">
        <v>42369</v>
      </c>
      <c r="C1431" s="314" t="s">
        <v>297</v>
      </c>
      <c r="D1431" s="314" t="s">
        <v>698</v>
      </c>
      <c r="E1431" s="318" t="s">
        <v>5</v>
      </c>
      <c r="F1431" s="320">
        <v>644000</v>
      </c>
      <c r="G1431" s="53">
        <v>719</v>
      </c>
      <c r="H1431" s="310" t="s">
        <v>328</v>
      </c>
      <c r="I1431" s="312">
        <v>43088</v>
      </c>
      <c r="J1431" s="314" t="s">
        <v>548</v>
      </c>
      <c r="K1431" s="318" t="s">
        <v>662</v>
      </c>
      <c r="L1431" s="318" t="s">
        <v>5</v>
      </c>
      <c r="M1431" s="320">
        <v>-429000</v>
      </c>
      <c r="N1431" s="53">
        <v>719</v>
      </c>
      <c r="O1431" s="54">
        <v>-330000</v>
      </c>
    </row>
    <row r="1432" spans="1:15" ht="14.25" customHeight="1" thickBot="1" x14ac:dyDescent="0.3">
      <c r="A1432" s="345"/>
      <c r="B1432" s="313"/>
      <c r="C1432" s="315"/>
      <c r="D1432" s="315"/>
      <c r="E1432" s="319"/>
      <c r="F1432" s="321"/>
      <c r="G1432" s="55">
        <v>721</v>
      </c>
      <c r="H1432" s="311"/>
      <c r="I1432" s="313"/>
      <c r="J1432" s="315"/>
      <c r="K1432" s="319"/>
      <c r="L1432" s="319"/>
      <c r="M1432" s="321"/>
      <c r="N1432" s="55">
        <v>721</v>
      </c>
      <c r="O1432" s="56">
        <f>+M1431-O1431</f>
        <v>-99000</v>
      </c>
    </row>
    <row r="1433" spans="1:15" ht="15" customHeight="1" thickBot="1" x14ac:dyDescent="0.3">
      <c r="A1433" s="344"/>
      <c r="B1433" s="312"/>
      <c r="C1433" s="314"/>
      <c r="D1433" s="314"/>
      <c r="E1433" s="318"/>
      <c r="F1433" s="320"/>
      <c r="G1433" s="53">
        <v>719</v>
      </c>
      <c r="H1433" s="297" t="s">
        <v>80</v>
      </c>
      <c r="I1433" s="298"/>
      <c r="J1433" s="298"/>
      <c r="K1433" s="298"/>
      <c r="L1433" s="299"/>
      <c r="M1433" s="62">
        <f>SUM(M1423:M1432)</f>
        <v>-2522000</v>
      </c>
    </row>
    <row r="1434" spans="1:15" ht="15.75" customHeight="1" thickBot="1" x14ac:dyDescent="0.3">
      <c r="A1434" s="345"/>
      <c r="B1434" s="313"/>
      <c r="C1434" s="315"/>
      <c r="D1434" s="315"/>
      <c r="E1434" s="319"/>
      <c r="F1434" s="321"/>
      <c r="G1434" s="55">
        <v>721</v>
      </c>
      <c r="H1434" s="300" t="s">
        <v>81</v>
      </c>
      <c r="I1434" s="301"/>
      <c r="J1434" s="301"/>
      <c r="K1434" s="301"/>
      <c r="L1434" s="302"/>
      <c r="M1434" s="63">
        <f>+M1398</f>
        <v>103164981</v>
      </c>
      <c r="N1434" s="64" t="s">
        <v>82</v>
      </c>
      <c r="O1434" s="65">
        <v>124</v>
      </c>
    </row>
    <row r="1435" spans="1:15" ht="16.5" thickBot="1" x14ac:dyDescent="0.3">
      <c r="A1435" s="297" t="s">
        <v>80</v>
      </c>
      <c r="B1435" s="298"/>
      <c r="C1435" s="298"/>
      <c r="D1435" s="298"/>
      <c r="E1435" s="299"/>
      <c r="F1435" s="62">
        <f>SUM(F1425:F1434)</f>
        <v>1246000</v>
      </c>
      <c r="H1435" s="303" t="s">
        <v>83</v>
      </c>
      <c r="I1435" s="304"/>
      <c r="J1435" s="304"/>
      <c r="K1435" s="304"/>
      <c r="L1435" s="305"/>
      <c r="M1435" s="66">
        <f>SUM(M1433:M1434)</f>
        <v>100642981</v>
      </c>
    </row>
    <row r="1436" spans="1:15" ht="12.75" customHeight="1" thickBot="1" x14ac:dyDescent="0.3">
      <c r="A1436" s="300" t="s">
        <v>81</v>
      </c>
      <c r="B1436" s="301"/>
      <c r="C1436" s="301"/>
      <c r="D1436" s="301"/>
      <c r="E1436" s="302"/>
      <c r="F1436" s="63" t="e">
        <f>+F1400</f>
        <v>#REF!</v>
      </c>
      <c r="H1436" s="67"/>
      <c r="I1436" s="67"/>
      <c r="J1436" s="67"/>
      <c r="K1436" s="67"/>
      <c r="L1436" s="67"/>
    </row>
    <row r="1437" spans="1:15" ht="16.5" thickBot="1" x14ac:dyDescent="0.3">
      <c r="A1437" s="303" t="s">
        <v>83</v>
      </c>
      <c r="B1437" s="304"/>
      <c r="C1437" s="304"/>
      <c r="D1437" s="304"/>
      <c r="E1437" s="305"/>
      <c r="F1437" s="66" t="e">
        <f>SUM(F1435:F1436)</f>
        <v>#REF!</v>
      </c>
      <c r="H1437" s="41" t="s">
        <v>700</v>
      </c>
    </row>
    <row r="1438" spans="1:15" ht="9.75" customHeight="1" x14ac:dyDescent="0.25">
      <c r="A1438" s="67"/>
      <c r="B1438" s="67"/>
      <c r="C1438" s="67"/>
      <c r="D1438" s="67"/>
      <c r="E1438" s="67"/>
      <c r="M1438" s="68"/>
    </row>
    <row r="1439" spans="1:15" x14ac:dyDescent="0.25">
      <c r="A1439" s="41" t="s">
        <v>701</v>
      </c>
      <c r="H1439" s="40" t="s">
        <v>86</v>
      </c>
      <c r="K1439" s="69"/>
      <c r="M1439" s="68"/>
    </row>
    <row r="1440" spans="1:15" ht="12.75" customHeight="1" thickBot="1" x14ac:dyDescent="0.3">
      <c r="F1440" s="68"/>
    </row>
    <row r="1441" spans="1:15" ht="15.75" thickBot="1" x14ac:dyDescent="0.3">
      <c r="A1441" s="40" t="s">
        <v>86</v>
      </c>
      <c r="D1441" s="69"/>
      <c r="F1441" s="68"/>
      <c r="H1441" s="306" t="s">
        <v>87</v>
      </c>
      <c r="I1441" s="307"/>
      <c r="J1441" s="307"/>
      <c r="K1441" s="308"/>
      <c r="M1441" s="40" t="s">
        <v>89</v>
      </c>
    </row>
    <row r="1442" spans="1:15" ht="30.75" thickBot="1" x14ac:dyDescent="0.3">
      <c r="H1442" s="70" t="s">
        <v>62</v>
      </c>
      <c r="I1442" s="71" t="s">
        <v>90</v>
      </c>
      <c r="J1442" s="204" t="s">
        <v>91</v>
      </c>
      <c r="K1442" s="73" t="s">
        <v>92</v>
      </c>
    </row>
    <row r="1443" spans="1:15" ht="15.75" thickBot="1" x14ac:dyDescent="0.3">
      <c r="A1443" s="306" t="s">
        <v>87</v>
      </c>
      <c r="B1443" s="307"/>
      <c r="C1443" s="307"/>
      <c r="D1443" s="308"/>
      <c r="F1443" s="40" t="s">
        <v>89</v>
      </c>
      <c r="H1443" s="75">
        <v>719</v>
      </c>
      <c r="I1443" s="76">
        <f>+O1423+O1425+O1427+O1429+O1431</f>
        <v>-1940000</v>
      </c>
      <c r="J1443" s="77">
        <f>+K1406</f>
        <v>16240000</v>
      </c>
      <c r="K1443" s="79">
        <f>+I1443+J1443</f>
        <v>14300000</v>
      </c>
    </row>
    <row r="1444" spans="1:15" ht="17.25" customHeight="1" thickBot="1" x14ac:dyDescent="0.3">
      <c r="A1444" s="70" t="s">
        <v>62</v>
      </c>
      <c r="B1444" s="71" t="s">
        <v>90</v>
      </c>
      <c r="C1444" s="72" t="s">
        <v>91</v>
      </c>
      <c r="D1444" s="73" t="s">
        <v>92</v>
      </c>
      <c r="H1444" s="80">
        <v>721</v>
      </c>
      <c r="I1444" s="81">
        <v>0</v>
      </c>
      <c r="J1444" s="77">
        <f>+K1407</f>
        <v>80112481</v>
      </c>
      <c r="K1444" s="79">
        <f>+I1444+J1444</f>
        <v>80112481</v>
      </c>
    </row>
    <row r="1445" spans="1:15" ht="11.25" customHeight="1" x14ac:dyDescent="0.25">
      <c r="A1445" s="75">
        <v>719</v>
      </c>
      <c r="B1445" s="76" t="e">
        <f>+#REF!+#REF!+#REF!+#REF!</f>
        <v>#REF!</v>
      </c>
      <c r="C1445" s="77" t="e">
        <f>+D1408</f>
        <v>#REF!</v>
      </c>
      <c r="D1445" s="79" t="e">
        <f>+B1445+C1445</f>
        <v>#REF!</v>
      </c>
      <c r="H1445" s="80">
        <v>722</v>
      </c>
      <c r="I1445" s="81"/>
      <c r="J1445" s="77">
        <f>+K1408</f>
        <v>0</v>
      </c>
      <c r="K1445" s="79">
        <f>+I1445+J1445</f>
        <v>0</v>
      </c>
    </row>
    <row r="1446" spans="1:15" ht="15.75" x14ac:dyDescent="0.25">
      <c r="A1446" s="80">
        <v>721</v>
      </c>
      <c r="B1446" s="81" t="e">
        <f>+#REF!+#REF!+#REF!+#REF!</f>
        <v>#REF!</v>
      </c>
      <c r="C1446" s="77" t="e">
        <f>+D1409</f>
        <v>#REF!</v>
      </c>
      <c r="D1446" s="79" t="e">
        <f>+B1446+C1446</f>
        <v>#REF!</v>
      </c>
      <c r="H1446" s="80">
        <v>723</v>
      </c>
      <c r="I1446" s="81">
        <f>+O1426+O1428+O1430+O1432+O1424</f>
        <v>-582000</v>
      </c>
      <c r="J1446" s="77">
        <f>+K1409</f>
        <v>6812500</v>
      </c>
      <c r="K1446" s="79">
        <f>+I1446+J1446</f>
        <v>6230500</v>
      </c>
      <c r="M1446" s="343" t="s">
        <v>640</v>
      </c>
      <c r="N1446" s="343"/>
      <c r="O1446" s="343"/>
    </row>
    <row r="1447" spans="1:15" ht="12" customHeight="1" thickBot="1" x14ac:dyDescent="0.3">
      <c r="A1447" s="80">
        <v>722</v>
      </c>
      <c r="B1447" s="81"/>
      <c r="C1447" s="77" t="e">
        <f>+D1410</f>
        <v>#REF!</v>
      </c>
      <c r="D1447" s="79" t="e">
        <f>+B1447+C1447</f>
        <v>#REF!</v>
      </c>
      <c r="H1447" s="85" t="s">
        <v>94</v>
      </c>
      <c r="I1447" s="86"/>
      <c r="J1447" s="77" t="e">
        <f>+K1410</f>
        <v>#REF!</v>
      </c>
      <c r="K1447" s="89" t="e">
        <f>+I1447+J1447</f>
        <v>#REF!</v>
      </c>
      <c r="M1447" s="45"/>
    </row>
    <row r="1448" spans="1:15" ht="14.25" customHeight="1" thickBot="1" x14ac:dyDescent="0.3">
      <c r="A1448" s="80">
        <v>723</v>
      </c>
      <c r="B1448" s="81"/>
      <c r="C1448" s="77" t="e">
        <f>+D1411</f>
        <v>#REF!</v>
      </c>
      <c r="D1448" s="79" t="e">
        <f>+B1448+C1448</f>
        <v>#REF!</v>
      </c>
      <c r="F1448" s="83" t="s">
        <v>93</v>
      </c>
      <c r="G1448" s="84"/>
      <c r="H1448" s="90"/>
      <c r="I1448" s="94">
        <f>SUM(I1443:I1447)</f>
        <v>-2522000</v>
      </c>
      <c r="J1448" s="94" t="e">
        <f>SUM(J1443:J1447)</f>
        <v>#REF!</v>
      </c>
      <c r="K1448" s="95" t="e">
        <f>SUM(K1443:K1447)</f>
        <v>#REF!</v>
      </c>
    </row>
    <row r="1449" spans="1:15" ht="15.75" customHeight="1" thickBot="1" x14ac:dyDescent="0.3">
      <c r="A1449" s="90"/>
      <c r="B1449" s="91" t="e">
        <f>SUM(#REF!)</f>
        <v>#REF!</v>
      </c>
      <c r="C1449" s="92" t="e">
        <f>SUM(#REF!)</f>
        <v>#REF!</v>
      </c>
      <c r="D1449" s="93" t="e">
        <f>SUM(#REF!)</f>
        <v>#REF!</v>
      </c>
      <c r="H1449" s="39" t="s">
        <v>46</v>
      </c>
      <c r="I1449" s="40"/>
    </row>
    <row r="1450" spans="1:15" ht="13.5" customHeight="1" x14ac:dyDescent="0.25">
      <c r="A1450" s="39" t="s">
        <v>46</v>
      </c>
      <c r="B1450" s="40"/>
      <c r="H1450" s="41" t="s">
        <v>47</v>
      </c>
    </row>
    <row r="1451" spans="1:15" ht="14.25" customHeight="1" x14ac:dyDescent="0.25">
      <c r="A1451" s="41" t="s">
        <v>47</v>
      </c>
      <c r="H1451" s="41" t="s">
        <v>48</v>
      </c>
    </row>
    <row r="1452" spans="1:15" ht="12" customHeight="1" x14ac:dyDescent="0.25">
      <c r="A1452" s="41" t="s">
        <v>48</v>
      </c>
      <c r="H1452" s="41" t="s">
        <v>49</v>
      </c>
    </row>
    <row r="1453" spans="1:15" ht="8.25" customHeight="1" x14ac:dyDescent="0.25">
      <c r="A1453" s="41" t="s">
        <v>49</v>
      </c>
      <c r="H1453" s="40"/>
      <c r="I1453" s="40"/>
    </row>
    <row r="1454" spans="1:15" ht="12" customHeight="1" x14ac:dyDescent="0.25">
      <c r="A1454" s="40"/>
      <c r="B1454" s="40"/>
      <c r="H1454" s="188" t="s">
        <v>702</v>
      </c>
      <c r="N1454" s="45"/>
    </row>
    <row r="1455" spans="1:15" ht="16.5" x14ac:dyDescent="0.25">
      <c r="A1455" s="45" t="s">
        <v>703</v>
      </c>
      <c r="G1455" s="45"/>
      <c r="H1455" s="47" t="s">
        <v>704</v>
      </c>
      <c r="N1455" s="47"/>
    </row>
    <row r="1456" spans="1:15" ht="16.5" x14ac:dyDescent="0.25">
      <c r="A1456" s="47" t="s">
        <v>52</v>
      </c>
      <c r="G1456" s="47"/>
      <c r="H1456" s="326" t="s">
        <v>696</v>
      </c>
      <c r="I1456" s="326"/>
      <c r="J1456" s="326"/>
      <c r="K1456" s="326"/>
      <c r="L1456" s="326"/>
      <c r="M1456" s="326"/>
      <c r="N1456" s="326"/>
      <c r="O1456" s="326"/>
    </row>
    <row r="1457" spans="1:15" ht="7.5" customHeight="1" thickBot="1" x14ac:dyDescent="0.3">
      <c r="A1457" s="326" t="s">
        <v>201</v>
      </c>
      <c r="B1457" s="326"/>
      <c r="C1457" s="326"/>
      <c r="D1457" s="326"/>
      <c r="E1457" s="326"/>
      <c r="F1457" s="326"/>
      <c r="G1457" s="326"/>
    </row>
    <row r="1458" spans="1:15" ht="15.75" thickBot="1" x14ac:dyDescent="0.3">
      <c r="H1458" s="327" t="s">
        <v>56</v>
      </c>
      <c r="I1458" s="322" t="s">
        <v>57</v>
      </c>
      <c r="J1458" s="322" t="s">
        <v>58</v>
      </c>
      <c r="K1458" s="322" t="s">
        <v>7</v>
      </c>
      <c r="L1458" s="322" t="s">
        <v>59</v>
      </c>
      <c r="M1458" s="322" t="s">
        <v>60</v>
      </c>
      <c r="N1458" s="322" t="s">
        <v>61</v>
      </c>
      <c r="O1458" s="324"/>
    </row>
    <row r="1459" spans="1:15" ht="15.75" thickBot="1" x14ac:dyDescent="0.3">
      <c r="A1459" s="327" t="s">
        <v>56</v>
      </c>
      <c r="B1459" s="322" t="s">
        <v>57</v>
      </c>
      <c r="C1459" s="322" t="s">
        <v>58</v>
      </c>
      <c r="D1459" s="322" t="s">
        <v>7</v>
      </c>
      <c r="E1459" s="322" t="s">
        <v>59</v>
      </c>
      <c r="F1459" s="322" t="s">
        <v>60</v>
      </c>
      <c r="G1459" s="50" t="s">
        <v>61</v>
      </c>
      <c r="H1459" s="328"/>
      <c r="I1459" s="323"/>
      <c r="J1459" s="323"/>
      <c r="K1459" s="323"/>
      <c r="L1459" s="323"/>
      <c r="M1459" s="323"/>
      <c r="N1459" s="51" t="s">
        <v>62</v>
      </c>
      <c r="O1459" s="52" t="s">
        <v>63</v>
      </c>
    </row>
    <row r="1460" spans="1:15" ht="14.25" customHeight="1" thickBot="1" x14ac:dyDescent="0.3">
      <c r="A1460" s="328"/>
      <c r="B1460" s="323"/>
      <c r="C1460" s="323"/>
      <c r="D1460" s="323"/>
      <c r="E1460" s="323"/>
      <c r="F1460" s="323"/>
      <c r="G1460" s="51" t="s">
        <v>62</v>
      </c>
      <c r="H1460" s="310" t="s">
        <v>504</v>
      </c>
      <c r="I1460" s="312">
        <v>42723</v>
      </c>
      <c r="J1460" s="314" t="s">
        <v>70</v>
      </c>
      <c r="K1460" s="318" t="s">
        <v>669</v>
      </c>
      <c r="L1460" s="318" t="s">
        <v>325</v>
      </c>
      <c r="M1460" s="320">
        <v>-170000</v>
      </c>
      <c r="N1460" s="53">
        <v>719</v>
      </c>
      <c r="O1460" s="54">
        <v>-170000</v>
      </c>
    </row>
    <row r="1461" spans="1:15" ht="12" customHeight="1" thickBot="1" x14ac:dyDescent="0.3">
      <c r="A1461" s="344" t="e">
        <f>+#REF!+1</f>
        <v>#REF!</v>
      </c>
      <c r="B1461" s="312">
        <v>42369</v>
      </c>
      <c r="C1461" s="314" t="s">
        <v>221</v>
      </c>
      <c r="D1461" s="318" t="s">
        <v>705</v>
      </c>
      <c r="E1461" s="318" t="s">
        <v>5</v>
      </c>
      <c r="F1461" s="320">
        <v>70000</v>
      </c>
      <c r="G1461" s="53">
        <v>719</v>
      </c>
      <c r="H1461" s="311"/>
      <c r="I1461" s="313"/>
      <c r="J1461" s="315"/>
      <c r="K1461" s="319"/>
      <c r="L1461" s="319"/>
      <c r="M1461" s="321"/>
      <c r="N1461" s="55">
        <v>721</v>
      </c>
      <c r="O1461" s="56">
        <f>+M1460-O1460</f>
        <v>0</v>
      </c>
    </row>
    <row r="1462" spans="1:15" ht="14.25" customHeight="1" thickBot="1" x14ac:dyDescent="0.3">
      <c r="A1462" s="345"/>
      <c r="B1462" s="313"/>
      <c r="C1462" s="315"/>
      <c r="D1462" s="319"/>
      <c r="E1462" s="319"/>
      <c r="F1462" s="321"/>
      <c r="G1462" s="55">
        <v>721</v>
      </c>
      <c r="H1462" s="310" t="s">
        <v>349</v>
      </c>
      <c r="I1462" s="312">
        <v>42723</v>
      </c>
      <c r="J1462" s="314" t="s">
        <v>70</v>
      </c>
      <c r="K1462" s="318" t="s">
        <v>671</v>
      </c>
      <c r="L1462" s="318" t="s">
        <v>325</v>
      </c>
      <c r="M1462" s="320">
        <v>-70000</v>
      </c>
      <c r="N1462" s="53">
        <v>719</v>
      </c>
      <c r="O1462" s="54">
        <v>-70000</v>
      </c>
    </row>
    <row r="1463" spans="1:15" ht="12.75" customHeight="1" thickBot="1" x14ac:dyDescent="0.3">
      <c r="A1463" s="344" t="e">
        <f>+A1461+1</f>
        <v>#REF!</v>
      </c>
      <c r="B1463" s="312">
        <v>42369</v>
      </c>
      <c r="C1463" s="318" t="s">
        <v>70</v>
      </c>
      <c r="D1463" s="318" t="s">
        <v>705</v>
      </c>
      <c r="E1463" s="318" t="s">
        <v>5</v>
      </c>
      <c r="F1463" s="320">
        <v>70000</v>
      </c>
      <c r="G1463" s="53">
        <v>719</v>
      </c>
      <c r="H1463" s="311"/>
      <c r="I1463" s="313"/>
      <c r="J1463" s="315"/>
      <c r="K1463" s="319"/>
      <c r="L1463" s="319"/>
      <c r="M1463" s="321"/>
      <c r="N1463" s="55">
        <v>721</v>
      </c>
      <c r="O1463" s="56">
        <f>+M1462-O1462</f>
        <v>0</v>
      </c>
    </row>
    <row r="1464" spans="1:15" ht="14.25" customHeight="1" thickBot="1" x14ac:dyDescent="0.3">
      <c r="A1464" s="345"/>
      <c r="B1464" s="313"/>
      <c r="C1464" s="319"/>
      <c r="D1464" s="319"/>
      <c r="E1464" s="319"/>
      <c r="F1464" s="321"/>
      <c r="G1464" s="55">
        <v>721</v>
      </c>
      <c r="H1464" s="310" t="s">
        <v>506</v>
      </c>
      <c r="I1464" s="312">
        <v>42723</v>
      </c>
      <c r="J1464" s="314" t="s">
        <v>70</v>
      </c>
      <c r="K1464" s="318" t="s">
        <v>673</v>
      </c>
      <c r="L1464" s="318" t="s">
        <v>325</v>
      </c>
      <c r="M1464" s="320">
        <v>-160000</v>
      </c>
      <c r="N1464" s="53">
        <v>719</v>
      </c>
      <c r="O1464" s="54">
        <v>-160000</v>
      </c>
    </row>
    <row r="1465" spans="1:15" ht="11.25" customHeight="1" thickBot="1" x14ac:dyDescent="0.3">
      <c r="A1465" s="344" t="e">
        <f>+A1463+1</f>
        <v>#REF!</v>
      </c>
      <c r="B1465" s="312">
        <v>42369</v>
      </c>
      <c r="C1465" s="314" t="s">
        <v>106</v>
      </c>
      <c r="D1465" s="318" t="s">
        <v>705</v>
      </c>
      <c r="E1465" s="318" t="s">
        <v>5</v>
      </c>
      <c r="F1465" s="320">
        <v>84000</v>
      </c>
      <c r="G1465" s="53">
        <v>719</v>
      </c>
      <c r="H1465" s="311"/>
      <c r="I1465" s="313"/>
      <c r="J1465" s="315"/>
      <c r="K1465" s="319"/>
      <c r="L1465" s="319"/>
      <c r="M1465" s="321"/>
      <c r="N1465" s="55">
        <v>721</v>
      </c>
      <c r="O1465" s="56"/>
    </row>
    <row r="1466" spans="1:15" ht="13.5" customHeight="1" x14ac:dyDescent="0.25">
      <c r="A1466" s="346"/>
      <c r="B1466" s="347"/>
      <c r="C1466" s="325"/>
      <c r="D1466" s="348"/>
      <c r="E1466" s="348"/>
      <c r="F1466" s="349"/>
      <c r="G1466" s="61"/>
      <c r="H1466" s="310" t="s">
        <v>516</v>
      </c>
      <c r="I1466" s="312">
        <v>42723</v>
      </c>
      <c r="J1466" s="314" t="s">
        <v>70</v>
      </c>
      <c r="K1466" s="318" t="s">
        <v>685</v>
      </c>
      <c r="L1466" s="318" t="s">
        <v>5</v>
      </c>
      <c r="M1466" s="320">
        <v>-1001000</v>
      </c>
      <c r="N1466" s="53">
        <v>719</v>
      </c>
      <c r="O1466" s="54">
        <v>-770000</v>
      </c>
    </row>
    <row r="1467" spans="1:15" ht="13.5" customHeight="1" thickBot="1" x14ac:dyDescent="0.3">
      <c r="A1467" s="346"/>
      <c r="B1467" s="347"/>
      <c r="C1467" s="325"/>
      <c r="D1467" s="348"/>
      <c r="E1467" s="348"/>
      <c r="F1467" s="349"/>
      <c r="G1467" s="61"/>
      <c r="H1467" s="311"/>
      <c r="I1467" s="313"/>
      <c r="J1467" s="315"/>
      <c r="K1467" s="319"/>
      <c r="L1467" s="319"/>
      <c r="M1467" s="321"/>
      <c r="N1467" s="55">
        <v>721</v>
      </c>
      <c r="O1467" s="56">
        <v>-231000</v>
      </c>
    </row>
    <row r="1468" spans="1:15" ht="14.25" customHeight="1" thickBot="1" x14ac:dyDescent="0.3">
      <c r="A1468" s="345"/>
      <c r="B1468" s="313"/>
      <c r="C1468" s="315"/>
      <c r="D1468" s="319"/>
      <c r="E1468" s="319"/>
      <c r="F1468" s="321"/>
      <c r="G1468" s="55">
        <v>721</v>
      </c>
      <c r="H1468" s="310" t="s">
        <v>706</v>
      </c>
      <c r="I1468" s="312">
        <v>42723</v>
      </c>
      <c r="J1468" s="314" t="s">
        <v>70</v>
      </c>
      <c r="K1468" s="318" t="s">
        <v>707</v>
      </c>
      <c r="L1468" s="318" t="s">
        <v>5</v>
      </c>
      <c r="M1468" s="320">
        <v>-559000</v>
      </c>
      <c r="N1468" s="53">
        <v>719</v>
      </c>
      <c r="O1468" s="54">
        <v>-430000</v>
      </c>
    </row>
    <row r="1469" spans="1:15" ht="15" customHeight="1" thickBot="1" x14ac:dyDescent="0.3">
      <c r="A1469" s="344" t="e">
        <f>+A1465+1</f>
        <v>#REF!</v>
      </c>
      <c r="B1469" s="312">
        <v>42369</v>
      </c>
      <c r="C1469" s="314" t="s">
        <v>297</v>
      </c>
      <c r="D1469" s="318" t="s">
        <v>705</v>
      </c>
      <c r="E1469" s="318" t="s">
        <v>5</v>
      </c>
      <c r="F1469" s="320">
        <v>294000</v>
      </c>
      <c r="G1469" s="53">
        <v>719</v>
      </c>
      <c r="H1469" s="311"/>
      <c r="I1469" s="313"/>
      <c r="J1469" s="315"/>
      <c r="K1469" s="319"/>
      <c r="L1469" s="319"/>
      <c r="M1469" s="321"/>
      <c r="N1469" s="55">
        <v>721</v>
      </c>
      <c r="O1469" s="56">
        <f>+M1468-O1468</f>
        <v>-129000</v>
      </c>
    </row>
    <row r="1470" spans="1:15" ht="13.5" customHeight="1" thickBot="1" x14ac:dyDescent="0.3">
      <c r="A1470" s="345"/>
      <c r="B1470" s="313"/>
      <c r="C1470" s="315"/>
      <c r="D1470" s="319"/>
      <c r="E1470" s="319"/>
      <c r="F1470" s="321"/>
      <c r="G1470" s="55">
        <v>721</v>
      </c>
      <c r="H1470" s="310" t="s">
        <v>708</v>
      </c>
      <c r="I1470" s="312">
        <v>42723</v>
      </c>
      <c r="J1470" s="314" t="s">
        <v>70</v>
      </c>
      <c r="K1470" s="318" t="s">
        <v>709</v>
      </c>
      <c r="L1470" s="318" t="s">
        <v>5</v>
      </c>
      <c r="M1470" s="320">
        <v>-624000</v>
      </c>
      <c r="N1470" s="53">
        <v>719</v>
      </c>
      <c r="O1470" s="54">
        <v>-480000</v>
      </c>
    </row>
    <row r="1471" spans="1:15" ht="14.25" customHeight="1" thickBot="1" x14ac:dyDescent="0.3">
      <c r="A1471" s="344"/>
      <c r="B1471" s="312"/>
      <c r="C1471" s="314"/>
      <c r="D1471" s="314"/>
      <c r="E1471" s="318"/>
      <c r="F1471" s="320"/>
      <c r="G1471" s="53">
        <v>719</v>
      </c>
      <c r="H1471" s="311"/>
      <c r="I1471" s="313"/>
      <c r="J1471" s="315"/>
      <c r="K1471" s="319"/>
      <c r="L1471" s="319"/>
      <c r="M1471" s="321"/>
      <c r="N1471" s="55">
        <v>721</v>
      </c>
      <c r="O1471" s="56">
        <f>+M1470-O1470</f>
        <v>-144000</v>
      </c>
    </row>
    <row r="1472" spans="1:15" ht="16.5" thickBot="1" x14ac:dyDescent="0.3">
      <c r="A1472" s="345"/>
      <c r="B1472" s="313"/>
      <c r="C1472" s="315"/>
      <c r="D1472" s="315"/>
      <c r="E1472" s="319"/>
      <c r="F1472" s="321"/>
      <c r="G1472" s="55">
        <v>721</v>
      </c>
      <c r="H1472" s="297" t="s">
        <v>80</v>
      </c>
      <c r="I1472" s="298"/>
      <c r="J1472" s="298"/>
      <c r="K1472" s="298"/>
      <c r="L1472" s="299"/>
      <c r="M1472" s="62">
        <f>SUM(M1460:M1471)</f>
        <v>-2584000</v>
      </c>
    </row>
    <row r="1473" spans="1:15" ht="16.5" thickBot="1" x14ac:dyDescent="0.3">
      <c r="A1473" s="297" t="s">
        <v>80</v>
      </c>
      <c r="B1473" s="298"/>
      <c r="C1473" s="298"/>
      <c r="D1473" s="298"/>
      <c r="E1473" s="299"/>
      <c r="F1473" s="62">
        <f>SUM(F1461:F1472)</f>
        <v>518000</v>
      </c>
      <c r="H1473" s="300" t="s">
        <v>81</v>
      </c>
      <c r="I1473" s="301"/>
      <c r="J1473" s="301"/>
      <c r="K1473" s="301"/>
      <c r="L1473" s="302"/>
      <c r="M1473" s="63">
        <f>+M1435</f>
        <v>100642981</v>
      </c>
      <c r="N1473" s="64" t="s">
        <v>82</v>
      </c>
      <c r="O1473" s="65"/>
    </row>
    <row r="1474" spans="1:15" ht="16.5" thickBot="1" x14ac:dyDescent="0.3">
      <c r="A1474" s="300" t="s">
        <v>81</v>
      </c>
      <c r="B1474" s="301"/>
      <c r="C1474" s="301"/>
      <c r="D1474" s="301"/>
      <c r="E1474" s="302"/>
      <c r="F1474" s="63" t="e">
        <f>+#REF!</f>
        <v>#REF!</v>
      </c>
      <c r="H1474" s="303" t="s">
        <v>83</v>
      </c>
      <c r="I1474" s="304"/>
      <c r="J1474" s="304"/>
      <c r="K1474" s="304"/>
      <c r="L1474" s="305"/>
      <c r="M1474" s="66">
        <f>SUM(M1472:M1473)</f>
        <v>98058981</v>
      </c>
    </row>
    <row r="1475" spans="1:15" ht="14.25" customHeight="1" thickBot="1" x14ac:dyDescent="0.3">
      <c r="A1475" s="303" t="s">
        <v>83</v>
      </c>
      <c r="B1475" s="304"/>
      <c r="C1475" s="304"/>
      <c r="D1475" s="304"/>
      <c r="E1475" s="305"/>
      <c r="F1475" s="66" t="e">
        <f>SUM(F1473:F1474)</f>
        <v>#REF!</v>
      </c>
      <c r="H1475" s="67"/>
      <c r="I1475" s="67"/>
      <c r="J1475" s="67"/>
      <c r="K1475" s="67"/>
      <c r="L1475" s="67"/>
    </row>
    <row r="1476" spans="1:15" x14ac:dyDescent="0.25">
      <c r="A1476" s="67"/>
      <c r="B1476" s="67"/>
      <c r="C1476" s="67"/>
      <c r="D1476" s="67"/>
      <c r="E1476" s="67"/>
      <c r="H1476" s="41" t="s">
        <v>710</v>
      </c>
    </row>
    <row r="1477" spans="1:15" ht="9" customHeight="1" x14ac:dyDescent="0.25">
      <c r="A1477" s="41" t="s">
        <v>711</v>
      </c>
      <c r="M1477" s="68"/>
    </row>
    <row r="1478" spans="1:15" ht="12.75" customHeight="1" x14ac:dyDescent="0.25">
      <c r="F1478" s="68"/>
      <c r="H1478" s="40" t="s">
        <v>86</v>
      </c>
      <c r="K1478" s="69"/>
      <c r="M1478" s="68"/>
    </row>
    <row r="1479" spans="1:15" ht="12" customHeight="1" thickBot="1" x14ac:dyDescent="0.3">
      <c r="A1479" s="40" t="s">
        <v>86</v>
      </c>
      <c r="D1479" s="69"/>
      <c r="F1479" s="68"/>
    </row>
    <row r="1480" spans="1:15" ht="12" customHeight="1" thickBot="1" x14ac:dyDescent="0.3">
      <c r="H1480" s="306" t="s">
        <v>87</v>
      </c>
      <c r="I1480" s="307"/>
      <c r="J1480" s="307"/>
      <c r="K1480" s="308"/>
      <c r="M1480" s="40" t="s">
        <v>89</v>
      </c>
    </row>
    <row r="1481" spans="1:15" ht="28.5" customHeight="1" thickBot="1" x14ac:dyDescent="0.3">
      <c r="A1481" s="306" t="s">
        <v>87</v>
      </c>
      <c r="B1481" s="307"/>
      <c r="C1481" s="307"/>
      <c r="D1481" s="308"/>
      <c r="F1481" s="40" t="s">
        <v>89</v>
      </c>
      <c r="H1481" s="70" t="s">
        <v>62</v>
      </c>
      <c r="I1481" s="71" t="s">
        <v>90</v>
      </c>
      <c r="J1481" s="72" t="s">
        <v>91</v>
      </c>
      <c r="K1481" s="73" t="s">
        <v>92</v>
      </c>
    </row>
    <row r="1482" spans="1:15" ht="14.25" customHeight="1" thickBot="1" x14ac:dyDescent="0.3">
      <c r="A1482" s="70" t="s">
        <v>62</v>
      </c>
      <c r="B1482" s="71" t="s">
        <v>90</v>
      </c>
      <c r="C1482" s="72" t="s">
        <v>91</v>
      </c>
      <c r="D1482" s="73" t="s">
        <v>92</v>
      </c>
      <c r="H1482" s="75">
        <v>719</v>
      </c>
      <c r="I1482" s="76">
        <f>+O1460+O1462+O1464+O1466+O1468+O1470</f>
        <v>-2080000</v>
      </c>
      <c r="J1482" s="77">
        <f>+K1443</f>
        <v>14300000</v>
      </c>
      <c r="K1482" s="79">
        <f>+I1482+J1482</f>
        <v>12220000</v>
      </c>
    </row>
    <row r="1483" spans="1:15" ht="13.5" customHeight="1" x14ac:dyDescent="0.25">
      <c r="A1483" s="75">
        <v>719</v>
      </c>
      <c r="B1483" s="76" t="e">
        <f>+#REF!+#REF!+#REF!+#REF!</f>
        <v>#REF!</v>
      </c>
      <c r="C1483" s="77" t="e">
        <f>+#REF!</f>
        <v>#REF!</v>
      </c>
      <c r="D1483" s="79" t="e">
        <f>+B1483+C1483</f>
        <v>#REF!</v>
      </c>
      <c r="H1483" s="80">
        <v>721</v>
      </c>
      <c r="I1483" s="81">
        <f>+O1471+O1469+O1467</f>
        <v>-504000</v>
      </c>
      <c r="J1483" s="77">
        <f>+K1444</f>
        <v>80112481</v>
      </c>
      <c r="K1483" s="79">
        <f>+I1483+J1483</f>
        <v>79608481</v>
      </c>
    </row>
    <row r="1484" spans="1:15" ht="13.5" customHeight="1" x14ac:dyDescent="0.25">
      <c r="A1484" s="80">
        <v>721</v>
      </c>
      <c r="B1484" s="81" t="e">
        <f>+#REF!+#REF!+#REF!+#REF!+#REF!</f>
        <v>#REF!</v>
      </c>
      <c r="C1484" s="77" t="e">
        <f>+#REF!</f>
        <v>#REF!</v>
      </c>
      <c r="D1484" s="79" t="e">
        <f>+B1484+C1484</f>
        <v>#REF!</v>
      </c>
      <c r="H1484" s="80">
        <v>722</v>
      </c>
      <c r="I1484" s="81"/>
      <c r="J1484" s="77">
        <f>+K1445</f>
        <v>0</v>
      </c>
      <c r="K1484" s="79">
        <f>+I1484+J1484</f>
        <v>0</v>
      </c>
    </row>
    <row r="1485" spans="1:15" ht="15" customHeight="1" x14ac:dyDescent="0.25">
      <c r="A1485" s="80">
        <v>722</v>
      </c>
      <c r="B1485" s="81"/>
      <c r="C1485" s="77" t="e">
        <f>+#REF!</f>
        <v>#REF!</v>
      </c>
      <c r="D1485" s="79" t="e">
        <f>+B1485+C1485</f>
        <v>#REF!</v>
      </c>
      <c r="H1485" s="80">
        <v>723</v>
      </c>
      <c r="I1485" s="81"/>
      <c r="J1485" s="77">
        <f>+K1446</f>
        <v>6230500</v>
      </c>
      <c r="K1485" s="79">
        <f>+I1485+J1485</f>
        <v>6230500</v>
      </c>
      <c r="M1485" s="343" t="s">
        <v>640</v>
      </c>
      <c r="N1485" s="343"/>
      <c r="O1485" s="343"/>
    </row>
    <row r="1486" spans="1:15" ht="16.5" thickBot="1" x14ac:dyDescent="0.3">
      <c r="A1486" s="80">
        <v>723</v>
      </c>
      <c r="B1486" s="81"/>
      <c r="C1486" s="77" t="e">
        <f>+#REF!</f>
        <v>#REF!</v>
      </c>
      <c r="D1486" s="79" t="e">
        <f>+B1486+C1486</f>
        <v>#REF!</v>
      </c>
      <c r="F1486" s="83" t="s">
        <v>93</v>
      </c>
      <c r="G1486" s="84"/>
      <c r="H1486" s="85" t="s">
        <v>94</v>
      </c>
      <c r="I1486" s="86"/>
      <c r="J1486" s="77" t="e">
        <f>+K1447</f>
        <v>#REF!</v>
      </c>
      <c r="K1486" s="89" t="e">
        <f>+I1486+J1486</f>
        <v>#REF!</v>
      </c>
      <c r="M1486" s="45"/>
    </row>
    <row r="1487" spans="1:15" ht="16.5" thickBot="1" x14ac:dyDescent="0.3">
      <c r="A1487" s="85" t="s">
        <v>94</v>
      </c>
      <c r="B1487" s="86"/>
      <c r="C1487" s="77" t="e">
        <f>+#REF!</f>
        <v>#REF!</v>
      </c>
      <c r="D1487" s="89" t="e">
        <f>+B1487+C1487</f>
        <v>#REF!</v>
      </c>
      <c r="F1487" s="45"/>
      <c r="H1487" s="90"/>
      <c r="I1487" s="94">
        <f>SUM(I1482:I1486)</f>
        <v>-2584000</v>
      </c>
      <c r="J1487" s="94" t="e">
        <f>SUM(J1482:J1486)</f>
        <v>#REF!</v>
      </c>
      <c r="K1487" s="95" t="e">
        <f>SUM(K1482:K1486)</f>
        <v>#REF!</v>
      </c>
    </row>
    <row r="1488" spans="1:15" ht="17.25" thickBot="1" x14ac:dyDescent="0.3">
      <c r="A1488" s="90"/>
      <c r="B1488" s="91" t="e">
        <f>SUM(B1483:B1487)</f>
        <v>#REF!</v>
      </c>
      <c r="C1488" s="92" t="e">
        <f>SUM(C1483:C1487)</f>
        <v>#REF!</v>
      </c>
      <c r="D1488" s="93" t="e">
        <f>SUM(D1483:D1487)</f>
        <v>#REF!</v>
      </c>
      <c r="H1488" s="39" t="s">
        <v>46</v>
      </c>
      <c r="I1488" s="40"/>
    </row>
    <row r="1489" spans="8:15" x14ac:dyDescent="0.25">
      <c r="H1489" s="41" t="s">
        <v>47</v>
      </c>
    </row>
    <row r="1490" spans="8:15" x14ac:dyDescent="0.25">
      <c r="H1490" s="41" t="s">
        <v>48</v>
      </c>
    </row>
    <row r="1491" spans="8:15" x14ac:dyDescent="0.25">
      <c r="H1491" s="41" t="s">
        <v>49</v>
      </c>
    </row>
    <row r="1492" spans="8:15" x14ac:dyDescent="0.25">
      <c r="H1492" s="40"/>
      <c r="I1492" s="40"/>
    </row>
    <row r="1493" spans="8:15" ht="15.75" x14ac:dyDescent="0.25">
      <c r="H1493" s="188" t="s">
        <v>712</v>
      </c>
      <c r="N1493" s="45"/>
    </row>
    <row r="1494" spans="8:15" ht="15.75" x14ac:dyDescent="0.25">
      <c r="H1494" s="47" t="s">
        <v>622</v>
      </c>
      <c r="N1494" s="47"/>
    </row>
    <row r="1495" spans="8:15" ht="16.5" x14ac:dyDescent="0.25">
      <c r="H1495" s="326" t="s">
        <v>683</v>
      </c>
      <c r="I1495" s="326"/>
      <c r="J1495" s="326"/>
      <c r="K1495" s="326"/>
      <c r="L1495" s="326"/>
      <c r="M1495" s="326"/>
      <c r="N1495" s="326"/>
      <c r="O1495" s="326"/>
    </row>
    <row r="1496" spans="8:15" ht="15.75" thickBot="1" x14ac:dyDescent="0.3"/>
    <row r="1497" spans="8:15" x14ac:dyDescent="0.25">
      <c r="H1497" s="327" t="s">
        <v>56</v>
      </c>
      <c r="I1497" s="322" t="s">
        <v>57</v>
      </c>
      <c r="J1497" s="322" t="s">
        <v>58</v>
      </c>
      <c r="K1497" s="322" t="s">
        <v>7</v>
      </c>
      <c r="L1497" s="322" t="s">
        <v>59</v>
      </c>
      <c r="M1497" s="322" t="s">
        <v>60</v>
      </c>
      <c r="N1497" s="322" t="s">
        <v>61</v>
      </c>
      <c r="O1497" s="324"/>
    </row>
    <row r="1498" spans="8:15" ht="15.75" thickBot="1" x14ac:dyDescent="0.3">
      <c r="H1498" s="328"/>
      <c r="I1498" s="323"/>
      <c r="J1498" s="323"/>
      <c r="K1498" s="323"/>
      <c r="L1498" s="323"/>
      <c r="M1498" s="323"/>
      <c r="N1498" s="51" t="s">
        <v>62</v>
      </c>
      <c r="O1498" s="52" t="s">
        <v>63</v>
      </c>
    </row>
    <row r="1499" spans="8:15" ht="12" customHeight="1" x14ac:dyDescent="0.25">
      <c r="H1499" s="310" t="s">
        <v>713</v>
      </c>
      <c r="I1499" s="312">
        <v>43096</v>
      </c>
      <c r="J1499" s="318" t="s">
        <v>70</v>
      </c>
      <c r="K1499" s="318" t="s">
        <v>714</v>
      </c>
      <c r="L1499" s="318" t="s">
        <v>5</v>
      </c>
      <c r="M1499" s="320">
        <v>650000</v>
      </c>
      <c r="N1499" s="53">
        <v>719</v>
      </c>
      <c r="O1499" s="54">
        <v>500000</v>
      </c>
    </row>
    <row r="1500" spans="8:15" ht="13.5" customHeight="1" thickBot="1" x14ac:dyDescent="0.3">
      <c r="H1500" s="311"/>
      <c r="I1500" s="313"/>
      <c r="J1500" s="319"/>
      <c r="K1500" s="319"/>
      <c r="L1500" s="319"/>
      <c r="M1500" s="321"/>
      <c r="N1500" s="55">
        <v>721</v>
      </c>
      <c r="O1500" s="56">
        <f>+M1499-O1499</f>
        <v>150000</v>
      </c>
    </row>
    <row r="1501" spans="8:15" ht="12" customHeight="1" x14ac:dyDescent="0.25">
      <c r="H1501" s="318">
        <f>+H1499+1</f>
        <v>177</v>
      </c>
      <c r="I1501" s="312">
        <v>43096</v>
      </c>
      <c r="J1501" s="318" t="s">
        <v>70</v>
      </c>
      <c r="K1501" s="316" t="s">
        <v>715</v>
      </c>
      <c r="L1501" s="318" t="s">
        <v>5</v>
      </c>
      <c r="M1501" s="320">
        <v>650000</v>
      </c>
      <c r="N1501" s="53">
        <v>719</v>
      </c>
      <c r="O1501" s="54">
        <v>500000</v>
      </c>
    </row>
    <row r="1502" spans="8:15" ht="12.75" customHeight="1" thickBot="1" x14ac:dyDescent="0.3">
      <c r="H1502" s="319"/>
      <c r="I1502" s="313"/>
      <c r="J1502" s="319"/>
      <c r="K1502" s="317"/>
      <c r="L1502" s="319"/>
      <c r="M1502" s="321"/>
      <c r="N1502" s="55">
        <v>721</v>
      </c>
      <c r="O1502" s="56">
        <f>+M1501-O1501</f>
        <v>150000</v>
      </c>
    </row>
    <row r="1503" spans="8:15" ht="12.75" customHeight="1" x14ac:dyDescent="0.25">
      <c r="H1503" s="318">
        <f>+H1501+1</f>
        <v>178</v>
      </c>
      <c r="I1503" s="312">
        <v>43096</v>
      </c>
      <c r="J1503" s="314" t="s">
        <v>68</v>
      </c>
      <c r="K1503" s="318" t="s">
        <v>716</v>
      </c>
      <c r="L1503" s="318" t="s">
        <v>5</v>
      </c>
      <c r="M1503" s="320">
        <v>650000</v>
      </c>
      <c r="N1503" s="53">
        <v>719</v>
      </c>
      <c r="O1503" s="54">
        <v>500000</v>
      </c>
    </row>
    <row r="1504" spans="8:15" ht="12.75" customHeight="1" thickBot="1" x14ac:dyDescent="0.3">
      <c r="H1504" s="319"/>
      <c r="I1504" s="313"/>
      <c r="J1504" s="315"/>
      <c r="K1504" s="319"/>
      <c r="L1504" s="319"/>
      <c r="M1504" s="321"/>
      <c r="N1504" s="55">
        <v>721</v>
      </c>
      <c r="O1504" s="56">
        <f>+M1503-O1503</f>
        <v>150000</v>
      </c>
    </row>
    <row r="1505" spans="8:15" ht="12" customHeight="1" x14ac:dyDescent="0.25">
      <c r="H1505" s="318">
        <f>+H1503+1</f>
        <v>179</v>
      </c>
      <c r="I1505" s="312">
        <v>43096</v>
      </c>
      <c r="J1505" s="314" t="s">
        <v>68</v>
      </c>
      <c r="K1505" s="316" t="s">
        <v>717</v>
      </c>
      <c r="L1505" s="318" t="s">
        <v>5</v>
      </c>
      <c r="M1505" s="320">
        <v>650000</v>
      </c>
      <c r="N1505" s="53">
        <v>719</v>
      </c>
      <c r="O1505" s="54">
        <v>500000</v>
      </c>
    </row>
    <row r="1506" spans="8:15" ht="13.5" customHeight="1" thickBot="1" x14ac:dyDescent="0.3">
      <c r="H1506" s="319"/>
      <c r="I1506" s="313"/>
      <c r="J1506" s="315"/>
      <c r="K1506" s="317"/>
      <c r="L1506" s="319"/>
      <c r="M1506" s="321"/>
      <c r="N1506" s="55">
        <v>721</v>
      </c>
      <c r="O1506" s="56">
        <f>+M1505-O1505</f>
        <v>150000</v>
      </c>
    </row>
    <row r="1507" spans="8:15" ht="13.5" customHeight="1" x14ac:dyDescent="0.25">
      <c r="H1507" s="318">
        <f>+H1505+1</f>
        <v>180</v>
      </c>
      <c r="I1507" s="312">
        <v>43096</v>
      </c>
      <c r="J1507" s="318" t="s">
        <v>70</v>
      </c>
      <c r="K1507" s="316" t="s">
        <v>718</v>
      </c>
      <c r="L1507" s="318" t="s">
        <v>66</v>
      </c>
      <c r="M1507" s="320">
        <v>70000</v>
      </c>
      <c r="N1507" s="53">
        <v>719</v>
      </c>
      <c r="O1507" s="54">
        <v>70000</v>
      </c>
    </row>
    <row r="1508" spans="8:15" ht="12.75" customHeight="1" thickBot="1" x14ac:dyDescent="0.3">
      <c r="H1508" s="319"/>
      <c r="I1508" s="313"/>
      <c r="J1508" s="319"/>
      <c r="K1508" s="317"/>
      <c r="L1508" s="319"/>
      <c r="M1508" s="321"/>
      <c r="N1508" s="55">
        <v>721</v>
      </c>
      <c r="O1508" s="56">
        <f>+M1507-O1507</f>
        <v>0</v>
      </c>
    </row>
    <row r="1509" spans="8:15" ht="15" customHeight="1" x14ac:dyDescent="0.25">
      <c r="H1509" s="318">
        <f>+H1507+1</f>
        <v>181</v>
      </c>
      <c r="I1509" s="312">
        <v>43096</v>
      </c>
      <c r="J1509" s="314" t="s">
        <v>251</v>
      </c>
      <c r="K1509" s="316" t="s">
        <v>718</v>
      </c>
      <c r="L1509" s="318" t="s">
        <v>66</v>
      </c>
      <c r="M1509" s="320">
        <v>250000</v>
      </c>
      <c r="N1509" s="53">
        <v>719</v>
      </c>
      <c r="O1509" s="54">
        <v>250000</v>
      </c>
    </row>
    <row r="1510" spans="8:15" ht="12.75" customHeight="1" thickBot="1" x14ac:dyDescent="0.3">
      <c r="H1510" s="319"/>
      <c r="I1510" s="313"/>
      <c r="J1510" s="315"/>
      <c r="K1510" s="317"/>
      <c r="L1510" s="319"/>
      <c r="M1510" s="321"/>
      <c r="N1510" s="55">
        <v>721</v>
      </c>
      <c r="O1510" s="56">
        <f>+M1509-O1509</f>
        <v>0</v>
      </c>
    </row>
    <row r="1511" spans="8:15" ht="16.5" thickBot="1" x14ac:dyDescent="0.3">
      <c r="H1511" s="297" t="s">
        <v>80</v>
      </c>
      <c r="I1511" s="298"/>
      <c r="J1511" s="298"/>
      <c r="K1511" s="298"/>
      <c r="L1511" s="299"/>
      <c r="M1511" s="62">
        <f>SUM(M1499:M1510)</f>
        <v>2920000</v>
      </c>
    </row>
    <row r="1512" spans="8:15" ht="16.5" thickBot="1" x14ac:dyDescent="0.3">
      <c r="H1512" s="300" t="s">
        <v>81</v>
      </c>
      <c r="I1512" s="301"/>
      <c r="J1512" s="301"/>
      <c r="K1512" s="301"/>
      <c r="L1512" s="302"/>
      <c r="M1512" s="63">
        <f>+M1474</f>
        <v>98058981</v>
      </c>
      <c r="N1512" s="64" t="s">
        <v>82</v>
      </c>
      <c r="O1512" s="65">
        <f>1207+1207+235+235+162+310</f>
        <v>3356</v>
      </c>
    </row>
    <row r="1513" spans="8:15" ht="16.5" thickBot="1" x14ac:dyDescent="0.3">
      <c r="H1513" s="303" t="s">
        <v>83</v>
      </c>
      <c r="I1513" s="304"/>
      <c r="J1513" s="304"/>
      <c r="K1513" s="304"/>
      <c r="L1513" s="305"/>
      <c r="M1513" s="66">
        <f>SUM(M1511:M1512)</f>
        <v>100978981</v>
      </c>
    </row>
    <row r="1514" spans="8:15" x14ac:dyDescent="0.25">
      <c r="H1514" s="67"/>
      <c r="I1514" s="67"/>
      <c r="J1514" s="67"/>
      <c r="K1514" s="67"/>
      <c r="L1514" s="67"/>
    </row>
    <row r="1515" spans="8:15" x14ac:dyDescent="0.25">
      <c r="H1515" s="41" t="s">
        <v>719</v>
      </c>
    </row>
    <row r="1516" spans="8:15" ht="9.75" customHeight="1" x14ac:dyDescent="0.25">
      <c r="M1516" s="68"/>
    </row>
    <row r="1517" spans="8:15" x14ac:dyDescent="0.25">
      <c r="H1517" s="40" t="s">
        <v>86</v>
      </c>
      <c r="K1517" s="69"/>
      <c r="M1517" s="68"/>
    </row>
    <row r="1518" spans="8:15" ht="13.5" customHeight="1" thickBot="1" x14ac:dyDescent="0.3"/>
    <row r="1519" spans="8:15" ht="15.75" thickBot="1" x14ac:dyDescent="0.3">
      <c r="H1519" s="306" t="s">
        <v>87</v>
      </c>
      <c r="I1519" s="307"/>
      <c r="J1519" s="307"/>
      <c r="K1519" s="308"/>
      <c r="M1519" s="40" t="s">
        <v>89</v>
      </c>
    </row>
    <row r="1520" spans="8:15" ht="30.75" thickBot="1" x14ac:dyDescent="0.3">
      <c r="H1520" s="70" t="s">
        <v>62</v>
      </c>
      <c r="I1520" s="71" t="s">
        <v>90</v>
      </c>
      <c r="J1520" s="204" t="s">
        <v>91</v>
      </c>
      <c r="K1520" s="73" t="s">
        <v>92</v>
      </c>
    </row>
    <row r="1521" spans="8:15" ht="13.5" customHeight="1" x14ac:dyDescent="0.25">
      <c r="H1521" s="75">
        <v>719</v>
      </c>
      <c r="I1521" s="76">
        <f>+O1499+O1501+O1503+O1505+O1509</f>
        <v>2250000</v>
      </c>
      <c r="J1521" s="77">
        <f>+K1482</f>
        <v>12220000</v>
      </c>
      <c r="K1521" s="79">
        <f>+I1521+J1521</f>
        <v>14470000</v>
      </c>
    </row>
    <row r="1522" spans="8:15" ht="12.75" customHeight="1" x14ac:dyDescent="0.25">
      <c r="H1522" s="80">
        <v>721</v>
      </c>
      <c r="I1522" s="81">
        <f>+O1510+O1506+O1504+O1502+O1500</f>
        <v>600000</v>
      </c>
      <c r="J1522" s="77">
        <f>+K1483</f>
        <v>79608481</v>
      </c>
      <c r="K1522" s="79">
        <f>+I1522+J1522</f>
        <v>80208481</v>
      </c>
    </row>
    <row r="1523" spans="8:15" ht="12.75" customHeight="1" x14ac:dyDescent="0.25">
      <c r="H1523" s="80">
        <v>722</v>
      </c>
      <c r="I1523" s="81"/>
      <c r="J1523" s="77">
        <f>+K1484</f>
        <v>0</v>
      </c>
      <c r="K1523" s="79">
        <f>+I1523+J1523</f>
        <v>0</v>
      </c>
    </row>
    <row r="1524" spans="8:15" ht="15.75" x14ac:dyDescent="0.25">
      <c r="H1524" s="80">
        <v>723</v>
      </c>
      <c r="I1524" s="81"/>
      <c r="J1524" s="77">
        <f>+K1485</f>
        <v>6230500</v>
      </c>
      <c r="K1524" s="79">
        <f>+I1524+J1524</f>
        <v>6230500</v>
      </c>
      <c r="M1524" s="343" t="s">
        <v>640</v>
      </c>
      <c r="N1524" s="343"/>
      <c r="O1524" s="343"/>
    </row>
    <row r="1525" spans="8:15" ht="13.5" customHeight="1" thickBot="1" x14ac:dyDescent="0.3">
      <c r="H1525" s="85" t="s">
        <v>94</v>
      </c>
      <c r="I1525" s="86"/>
      <c r="J1525" s="77" t="e">
        <f>+K1486</f>
        <v>#REF!</v>
      </c>
      <c r="K1525" s="89" t="e">
        <f>+I1525+J1525</f>
        <v>#REF!</v>
      </c>
      <c r="M1525" s="45"/>
    </row>
    <row r="1526" spans="8:15" ht="16.5" thickBot="1" x14ac:dyDescent="0.3">
      <c r="H1526" s="90"/>
      <c r="I1526" s="94">
        <f>SUM(I1521:I1525)</f>
        <v>2850000</v>
      </c>
      <c r="J1526" s="94" t="e">
        <f>SUM(J1521:J1525)</f>
        <v>#REF!</v>
      </c>
      <c r="K1526" s="95" t="e">
        <f>SUM(K1521:K1525)</f>
        <v>#REF!</v>
      </c>
    </row>
    <row r="1527" spans="8:15" ht="16.5" x14ac:dyDescent="0.25">
      <c r="H1527" s="39" t="s">
        <v>46</v>
      </c>
      <c r="I1527" s="40"/>
    </row>
    <row r="1528" spans="8:15" x14ac:dyDescent="0.25">
      <c r="H1528" s="41" t="s">
        <v>47</v>
      </c>
    </row>
    <row r="1529" spans="8:15" x14ac:dyDescent="0.25">
      <c r="H1529" s="41" t="s">
        <v>48</v>
      </c>
    </row>
    <row r="1530" spans="8:15" x14ac:dyDescent="0.25">
      <c r="H1530" s="41" t="s">
        <v>49</v>
      </c>
    </row>
    <row r="1531" spans="8:15" ht="10.5" customHeight="1" x14ac:dyDescent="0.25">
      <c r="H1531" s="40"/>
      <c r="I1531" s="40"/>
    </row>
    <row r="1532" spans="8:15" ht="15.75" x14ac:dyDescent="0.25">
      <c r="H1532" s="188" t="s">
        <v>720</v>
      </c>
      <c r="N1532" s="45"/>
    </row>
    <row r="1533" spans="8:15" ht="15.75" x14ac:dyDescent="0.25">
      <c r="H1533" s="47" t="s">
        <v>622</v>
      </c>
      <c r="N1533" s="47"/>
    </row>
    <row r="1534" spans="8:15" ht="16.5" x14ac:dyDescent="0.25">
      <c r="H1534" s="326" t="s">
        <v>683</v>
      </c>
      <c r="I1534" s="326"/>
      <c r="J1534" s="326"/>
      <c r="K1534" s="326"/>
      <c r="L1534" s="326"/>
      <c r="M1534" s="326"/>
      <c r="N1534" s="326"/>
      <c r="O1534" s="326"/>
    </row>
    <row r="1535" spans="8:15" ht="13.5" customHeight="1" thickBot="1" x14ac:dyDescent="0.3"/>
    <row r="1536" spans="8:15" x14ac:dyDescent="0.25">
      <c r="H1536" s="327" t="s">
        <v>56</v>
      </c>
      <c r="I1536" s="322" t="s">
        <v>57</v>
      </c>
      <c r="J1536" s="322" t="s">
        <v>58</v>
      </c>
      <c r="K1536" s="322" t="s">
        <v>7</v>
      </c>
      <c r="L1536" s="322" t="s">
        <v>59</v>
      </c>
      <c r="M1536" s="322" t="s">
        <v>60</v>
      </c>
      <c r="N1536" s="322" t="s">
        <v>61</v>
      </c>
      <c r="O1536" s="324"/>
    </row>
    <row r="1537" spans="8:15" ht="15.75" thickBot="1" x14ac:dyDescent="0.3">
      <c r="H1537" s="328"/>
      <c r="I1537" s="323"/>
      <c r="J1537" s="323"/>
      <c r="K1537" s="323"/>
      <c r="L1537" s="323"/>
      <c r="M1537" s="323"/>
      <c r="N1537" s="51" t="s">
        <v>62</v>
      </c>
      <c r="O1537" s="52" t="s">
        <v>63</v>
      </c>
    </row>
    <row r="1538" spans="8:15" ht="15" customHeight="1" x14ac:dyDescent="0.25">
      <c r="H1538" s="318">
        <v>182</v>
      </c>
      <c r="I1538" s="312">
        <v>43097</v>
      </c>
      <c r="J1538" s="318" t="s">
        <v>70</v>
      </c>
      <c r="K1538" s="316" t="s">
        <v>721</v>
      </c>
      <c r="L1538" s="318" t="s">
        <v>66</v>
      </c>
      <c r="M1538" s="320">
        <v>110000</v>
      </c>
      <c r="N1538" s="53">
        <v>719</v>
      </c>
      <c r="O1538" s="54">
        <v>110000</v>
      </c>
    </row>
    <row r="1539" spans="8:15" ht="15.75" customHeight="1" thickBot="1" x14ac:dyDescent="0.3">
      <c r="H1539" s="319"/>
      <c r="I1539" s="313"/>
      <c r="J1539" s="319"/>
      <c r="K1539" s="317"/>
      <c r="L1539" s="319"/>
      <c r="M1539" s="321"/>
      <c r="N1539" s="55">
        <v>721</v>
      </c>
      <c r="O1539" s="56"/>
    </row>
    <row r="1540" spans="8:15" ht="15" customHeight="1" x14ac:dyDescent="0.25">
      <c r="H1540" s="318">
        <v>183</v>
      </c>
      <c r="I1540" s="312">
        <v>43097</v>
      </c>
      <c r="J1540" s="318" t="s">
        <v>251</v>
      </c>
      <c r="K1540" s="316" t="s">
        <v>721</v>
      </c>
      <c r="L1540" s="318" t="s">
        <v>66</v>
      </c>
      <c r="M1540" s="320">
        <v>440000</v>
      </c>
      <c r="N1540" s="53">
        <v>719</v>
      </c>
      <c r="O1540" s="54">
        <v>440000</v>
      </c>
    </row>
    <row r="1541" spans="8:15" ht="15.75" customHeight="1" thickBot="1" x14ac:dyDescent="0.3">
      <c r="H1541" s="319"/>
      <c r="I1541" s="313"/>
      <c r="J1541" s="319"/>
      <c r="K1541" s="317"/>
      <c r="L1541" s="319"/>
      <c r="M1541" s="321"/>
      <c r="N1541" s="55">
        <v>721</v>
      </c>
      <c r="O1541" s="56">
        <f>+M1540-O1540</f>
        <v>0</v>
      </c>
    </row>
    <row r="1542" spans="8:15" ht="15" customHeight="1" x14ac:dyDescent="0.25">
      <c r="H1542" s="318">
        <v>184</v>
      </c>
      <c r="I1542" s="312">
        <v>43097</v>
      </c>
      <c r="J1542" s="314" t="s">
        <v>634</v>
      </c>
      <c r="K1542" s="316" t="s">
        <v>722</v>
      </c>
      <c r="L1542" s="318" t="s">
        <v>5</v>
      </c>
      <c r="M1542" s="320">
        <v>4500000</v>
      </c>
      <c r="N1542" s="53">
        <v>719</v>
      </c>
      <c r="O1542" s="54"/>
    </row>
    <row r="1543" spans="8:15" ht="15.75" customHeight="1" thickBot="1" x14ac:dyDescent="0.3">
      <c r="H1543" s="319"/>
      <c r="I1543" s="313"/>
      <c r="J1543" s="315"/>
      <c r="K1543" s="317"/>
      <c r="L1543" s="319"/>
      <c r="M1543" s="321"/>
      <c r="N1543" s="55">
        <v>721</v>
      </c>
      <c r="O1543" s="56">
        <f>+M1542-O1542</f>
        <v>4500000</v>
      </c>
    </row>
    <row r="1544" spans="8:15" x14ac:dyDescent="0.25">
      <c r="H1544" s="318">
        <v>185</v>
      </c>
      <c r="I1544" s="312"/>
      <c r="J1544" s="314"/>
      <c r="K1544" s="316"/>
      <c r="L1544" s="318"/>
      <c r="M1544" s="320"/>
      <c r="N1544" s="53">
        <v>719</v>
      </c>
      <c r="O1544" s="54"/>
    </row>
    <row r="1545" spans="8:15" ht="15.75" thickBot="1" x14ac:dyDescent="0.3">
      <c r="H1545" s="319"/>
      <c r="I1545" s="313"/>
      <c r="J1545" s="315"/>
      <c r="K1545" s="317"/>
      <c r="L1545" s="319"/>
      <c r="M1545" s="321"/>
      <c r="N1545" s="55">
        <v>721</v>
      </c>
      <c r="O1545" s="56">
        <f>+M1544-O1544</f>
        <v>0</v>
      </c>
    </row>
    <row r="1546" spans="8:15" x14ac:dyDescent="0.25">
      <c r="H1546" s="318"/>
      <c r="I1546" s="312"/>
      <c r="J1546" s="314"/>
      <c r="K1546" s="318"/>
      <c r="L1546" s="318"/>
      <c r="M1546" s="320"/>
      <c r="N1546" s="53">
        <v>719</v>
      </c>
      <c r="O1546" s="54"/>
    </row>
    <row r="1547" spans="8:15" ht="15.75" thickBot="1" x14ac:dyDescent="0.3">
      <c r="H1547" s="319"/>
      <c r="I1547" s="313"/>
      <c r="J1547" s="315"/>
      <c r="K1547" s="319"/>
      <c r="L1547" s="319"/>
      <c r="M1547" s="321"/>
      <c r="N1547" s="55">
        <v>721</v>
      </c>
      <c r="O1547" s="56">
        <f>+M1546-O1546</f>
        <v>0</v>
      </c>
    </row>
    <row r="1548" spans="8:15" ht="16.5" thickBot="1" x14ac:dyDescent="0.3">
      <c r="H1548" s="297" t="s">
        <v>80</v>
      </c>
      <c r="I1548" s="298"/>
      <c r="J1548" s="298"/>
      <c r="K1548" s="298"/>
      <c r="L1548" s="299"/>
      <c r="M1548" s="62">
        <f>SUM(M1538:M1547)</f>
        <v>5050000</v>
      </c>
    </row>
    <row r="1549" spans="8:15" ht="16.5" thickBot="1" x14ac:dyDescent="0.3">
      <c r="H1549" s="300" t="s">
        <v>81</v>
      </c>
      <c r="I1549" s="301"/>
      <c r="J1549" s="301"/>
      <c r="K1549" s="301"/>
      <c r="L1549" s="302"/>
      <c r="M1549" s="63">
        <f>+M1513</f>
        <v>100978981</v>
      </c>
      <c r="N1549" s="64" t="s">
        <v>82</v>
      </c>
      <c r="O1549" s="65">
        <f>246+617</f>
        <v>863</v>
      </c>
    </row>
    <row r="1550" spans="8:15" ht="16.5" thickBot="1" x14ac:dyDescent="0.3">
      <c r="H1550" s="303" t="s">
        <v>83</v>
      </c>
      <c r="I1550" s="304"/>
      <c r="J1550" s="304"/>
      <c r="K1550" s="304"/>
      <c r="L1550" s="305"/>
      <c r="M1550" s="66">
        <f>SUM(M1548:M1549)</f>
        <v>106028981</v>
      </c>
    </row>
    <row r="1551" spans="8:15" x14ac:dyDescent="0.25">
      <c r="H1551" s="67"/>
      <c r="I1551" s="67"/>
      <c r="J1551" s="67"/>
      <c r="K1551" s="67"/>
      <c r="L1551" s="67"/>
    </row>
    <row r="1552" spans="8:15" x14ac:dyDescent="0.25">
      <c r="H1552" s="41" t="s">
        <v>723</v>
      </c>
    </row>
    <row r="1553" spans="8:14" x14ac:dyDescent="0.25">
      <c r="M1553" s="68"/>
    </row>
    <row r="1554" spans="8:14" x14ac:dyDescent="0.25">
      <c r="H1554" s="40" t="s">
        <v>86</v>
      </c>
      <c r="K1554" s="69"/>
      <c r="M1554" s="68"/>
    </row>
    <row r="1555" spans="8:14" ht="13.5" customHeight="1" thickBot="1" x14ac:dyDescent="0.3"/>
    <row r="1556" spans="8:14" ht="15.75" thickBot="1" x14ac:dyDescent="0.3">
      <c r="H1556" s="306" t="s">
        <v>87</v>
      </c>
      <c r="I1556" s="307"/>
      <c r="J1556" s="307"/>
      <c r="K1556" s="308"/>
      <c r="M1556" s="40" t="s">
        <v>89</v>
      </c>
    </row>
    <row r="1557" spans="8:14" ht="30.75" thickBot="1" x14ac:dyDescent="0.3">
      <c r="H1557" s="70" t="s">
        <v>62</v>
      </c>
      <c r="I1557" s="71" t="s">
        <v>90</v>
      </c>
      <c r="J1557" s="204" t="s">
        <v>91</v>
      </c>
      <c r="K1557" s="73" t="s">
        <v>92</v>
      </c>
    </row>
    <row r="1558" spans="8:14" x14ac:dyDescent="0.25">
      <c r="H1558" s="75">
        <v>719</v>
      </c>
      <c r="I1558" s="76">
        <f>+O1538+O1540+O1542+O1544+O1546</f>
        <v>550000</v>
      </c>
      <c r="J1558" s="77">
        <f>+K1521</f>
        <v>14470000</v>
      </c>
      <c r="K1558" s="79">
        <f>+I1558+J1558</f>
        <v>15020000</v>
      </c>
    </row>
    <row r="1559" spans="8:14" x14ac:dyDescent="0.25">
      <c r="H1559" s="80">
        <v>721</v>
      </c>
      <c r="I1559" s="81">
        <v>0</v>
      </c>
      <c r="J1559" s="77">
        <f>+K1522</f>
        <v>80208481</v>
      </c>
      <c r="K1559" s="79">
        <f>+I1559+J1559</f>
        <v>80208481</v>
      </c>
    </row>
    <row r="1560" spans="8:14" x14ac:dyDescent="0.25">
      <c r="H1560" s="80">
        <v>722</v>
      </c>
      <c r="I1560" s="81"/>
      <c r="J1560" s="77">
        <f>+K1523</f>
        <v>0</v>
      </c>
      <c r="K1560" s="79">
        <f>+I1560+J1560</f>
        <v>0</v>
      </c>
    </row>
    <row r="1561" spans="8:14" ht="15.75" x14ac:dyDescent="0.25">
      <c r="H1561" s="80">
        <v>723</v>
      </c>
      <c r="I1561" s="81">
        <f>+O1547+O1545+O1543+O1541+O1539</f>
        <v>4500000</v>
      </c>
      <c r="J1561" s="77">
        <f>+K1524</f>
        <v>6230500</v>
      </c>
      <c r="K1561" s="79">
        <f>+I1561+J1561</f>
        <v>10730500</v>
      </c>
      <c r="M1561" s="109" t="s">
        <v>304</v>
      </c>
      <c r="N1561" s="84"/>
    </row>
    <row r="1562" spans="8:14" ht="16.5" thickBot="1" x14ac:dyDescent="0.3">
      <c r="H1562" s="85" t="s">
        <v>94</v>
      </c>
      <c r="I1562" s="86"/>
      <c r="J1562" s="77" t="e">
        <f>+K1525</f>
        <v>#REF!</v>
      </c>
      <c r="K1562" s="89" t="e">
        <f>+I1562+J1562</f>
        <v>#REF!</v>
      </c>
      <c r="M1562" s="45"/>
    </row>
    <row r="1563" spans="8:14" ht="16.5" thickBot="1" x14ac:dyDescent="0.3">
      <c r="H1563" s="90"/>
      <c r="I1563" s="94">
        <f>SUM(I1558:I1562)</f>
        <v>5050000</v>
      </c>
      <c r="J1563" s="94" t="e">
        <f>SUM(J1558:J1562)</f>
        <v>#REF!</v>
      </c>
      <c r="K1563" s="95" t="e">
        <f>SUM(K1558:K1562)</f>
        <v>#REF!</v>
      </c>
    </row>
    <row r="1564" spans="8:14" ht="16.5" x14ac:dyDescent="0.25">
      <c r="H1564" s="39" t="s">
        <v>46</v>
      </c>
      <c r="I1564" s="40"/>
    </row>
    <row r="1565" spans="8:14" x14ac:dyDescent="0.25">
      <c r="H1565" s="41" t="s">
        <v>47</v>
      </c>
    </row>
    <row r="1566" spans="8:14" x14ac:dyDescent="0.25">
      <c r="H1566" s="41" t="s">
        <v>48</v>
      </c>
    </row>
    <row r="1567" spans="8:14" x14ac:dyDescent="0.25">
      <c r="H1567" s="41" t="s">
        <v>49</v>
      </c>
    </row>
    <row r="1568" spans="8:14" ht="12" customHeight="1" x14ac:dyDescent="0.25">
      <c r="H1568" s="40"/>
      <c r="I1568" s="40"/>
    </row>
    <row r="1569" spans="8:15" ht="15.75" x14ac:dyDescent="0.25">
      <c r="H1569" s="188" t="s">
        <v>724</v>
      </c>
      <c r="N1569" s="45"/>
    </row>
    <row r="1570" spans="8:15" ht="15.75" x14ac:dyDescent="0.25">
      <c r="H1570" s="47" t="s">
        <v>704</v>
      </c>
      <c r="N1570" s="47"/>
    </row>
    <row r="1571" spans="8:15" ht="16.5" x14ac:dyDescent="0.25">
      <c r="H1571" s="326" t="s">
        <v>683</v>
      </c>
      <c r="I1571" s="326"/>
      <c r="J1571" s="326"/>
      <c r="K1571" s="326"/>
      <c r="L1571" s="326"/>
      <c r="M1571" s="326"/>
      <c r="N1571" s="326"/>
      <c r="O1571" s="326"/>
    </row>
    <row r="1572" spans="8:15" ht="15.75" thickBot="1" x14ac:dyDescent="0.3"/>
    <row r="1573" spans="8:15" x14ac:dyDescent="0.25">
      <c r="H1573" s="327" t="s">
        <v>56</v>
      </c>
      <c r="I1573" s="322" t="s">
        <v>57</v>
      </c>
      <c r="J1573" s="322" t="s">
        <v>58</v>
      </c>
      <c r="K1573" s="322" t="s">
        <v>7</v>
      </c>
      <c r="L1573" s="322" t="s">
        <v>59</v>
      </c>
      <c r="M1573" s="322" t="s">
        <v>60</v>
      </c>
      <c r="N1573" s="322" t="s">
        <v>61</v>
      </c>
      <c r="O1573" s="324"/>
    </row>
    <row r="1574" spans="8:15" ht="15.75" thickBot="1" x14ac:dyDescent="0.3">
      <c r="H1574" s="328"/>
      <c r="I1574" s="323"/>
      <c r="J1574" s="323"/>
      <c r="K1574" s="323"/>
      <c r="L1574" s="323"/>
      <c r="M1574" s="323"/>
      <c r="N1574" s="51" t="s">
        <v>62</v>
      </c>
      <c r="O1574" s="52" t="s">
        <v>63</v>
      </c>
    </row>
    <row r="1575" spans="8:15" x14ac:dyDescent="0.25">
      <c r="H1575" s="318">
        <v>194</v>
      </c>
      <c r="I1575" s="312">
        <v>42515</v>
      </c>
      <c r="J1575" s="314" t="s">
        <v>297</v>
      </c>
      <c r="K1575" s="316" t="s">
        <v>725</v>
      </c>
      <c r="L1575" s="318" t="s">
        <v>66</v>
      </c>
      <c r="M1575" s="320">
        <v>100000</v>
      </c>
      <c r="N1575" s="53">
        <v>719</v>
      </c>
      <c r="O1575" s="54">
        <v>100000</v>
      </c>
    </row>
    <row r="1576" spans="8:15" ht="15.75" thickBot="1" x14ac:dyDescent="0.3">
      <c r="H1576" s="319"/>
      <c r="I1576" s="313"/>
      <c r="J1576" s="315"/>
      <c r="K1576" s="317"/>
      <c r="L1576" s="319"/>
      <c r="M1576" s="321"/>
      <c r="N1576" s="55">
        <v>721</v>
      </c>
      <c r="O1576" s="56">
        <f>+M1575-O1575</f>
        <v>0</v>
      </c>
    </row>
    <row r="1577" spans="8:15" ht="15" customHeight="1" x14ac:dyDescent="0.25">
      <c r="H1577" s="318">
        <v>195</v>
      </c>
      <c r="I1577" s="312">
        <v>42515</v>
      </c>
      <c r="J1577" s="314" t="s">
        <v>70</v>
      </c>
      <c r="K1577" s="316" t="s">
        <v>726</v>
      </c>
      <c r="L1577" s="318" t="s">
        <v>66</v>
      </c>
      <c r="M1577" s="320">
        <v>70000</v>
      </c>
      <c r="N1577" s="53">
        <v>719</v>
      </c>
      <c r="O1577" s="54">
        <v>70000</v>
      </c>
    </row>
    <row r="1578" spans="8:15" ht="15.75" customHeight="1" thickBot="1" x14ac:dyDescent="0.3">
      <c r="H1578" s="319"/>
      <c r="I1578" s="313"/>
      <c r="J1578" s="315"/>
      <c r="K1578" s="317"/>
      <c r="L1578" s="319"/>
      <c r="M1578" s="321"/>
      <c r="N1578" s="55">
        <v>721</v>
      </c>
      <c r="O1578" s="56">
        <f>+M1577-O1577</f>
        <v>0</v>
      </c>
    </row>
    <row r="1579" spans="8:15" x14ac:dyDescent="0.25">
      <c r="H1579" s="318"/>
      <c r="I1579" s="312"/>
      <c r="J1579" s="314"/>
      <c r="K1579" s="318"/>
      <c r="L1579" s="318"/>
      <c r="M1579" s="320"/>
      <c r="N1579" s="53">
        <v>719</v>
      </c>
      <c r="O1579" s="54"/>
    </row>
    <row r="1580" spans="8:15" ht="15.75" thickBot="1" x14ac:dyDescent="0.3">
      <c r="H1580" s="319"/>
      <c r="I1580" s="313"/>
      <c r="J1580" s="315"/>
      <c r="K1580" s="319"/>
      <c r="L1580" s="319"/>
      <c r="M1580" s="321"/>
      <c r="N1580" s="55">
        <v>721</v>
      </c>
      <c r="O1580" s="56">
        <f>+M1579-O1579</f>
        <v>0</v>
      </c>
    </row>
    <row r="1581" spans="8:15" x14ac:dyDescent="0.25">
      <c r="H1581" s="318"/>
      <c r="I1581" s="312"/>
      <c r="J1581" s="314"/>
      <c r="K1581" s="316"/>
      <c r="L1581" s="318"/>
      <c r="M1581" s="320"/>
      <c r="N1581" s="53">
        <v>719</v>
      </c>
      <c r="O1581" s="54"/>
    </row>
    <row r="1582" spans="8:15" ht="15.75" thickBot="1" x14ac:dyDescent="0.3">
      <c r="H1582" s="319"/>
      <c r="I1582" s="313"/>
      <c r="J1582" s="315"/>
      <c r="K1582" s="317"/>
      <c r="L1582" s="319"/>
      <c r="M1582" s="321"/>
      <c r="N1582" s="55">
        <v>721</v>
      </c>
      <c r="O1582" s="56">
        <f>+M1581-O1581</f>
        <v>0</v>
      </c>
    </row>
    <row r="1583" spans="8:15" x14ac:dyDescent="0.25">
      <c r="H1583" s="318"/>
      <c r="I1583" s="312"/>
      <c r="J1583" s="314"/>
      <c r="K1583" s="318"/>
      <c r="L1583" s="318"/>
      <c r="M1583" s="320"/>
      <c r="N1583" s="53">
        <v>719</v>
      </c>
      <c r="O1583" s="54"/>
    </row>
    <row r="1584" spans="8:15" ht="15.75" thickBot="1" x14ac:dyDescent="0.3">
      <c r="H1584" s="319"/>
      <c r="I1584" s="313"/>
      <c r="J1584" s="315"/>
      <c r="K1584" s="319"/>
      <c r="L1584" s="319"/>
      <c r="M1584" s="321"/>
      <c r="N1584" s="55">
        <v>721</v>
      </c>
      <c r="O1584" s="56">
        <f>+M1583-O1583</f>
        <v>0</v>
      </c>
    </row>
    <row r="1585" spans="8:15" ht="16.5" thickBot="1" x14ac:dyDescent="0.3">
      <c r="H1585" s="297" t="s">
        <v>80</v>
      </c>
      <c r="I1585" s="298"/>
      <c r="J1585" s="298"/>
      <c r="K1585" s="298"/>
      <c r="L1585" s="299"/>
      <c r="M1585" s="62">
        <f>SUM(M1575:M1584)</f>
        <v>170000</v>
      </c>
    </row>
    <row r="1586" spans="8:15" ht="16.5" thickBot="1" x14ac:dyDescent="0.3">
      <c r="H1586" s="300" t="s">
        <v>81</v>
      </c>
      <c r="I1586" s="301"/>
      <c r="J1586" s="301"/>
      <c r="K1586" s="301"/>
      <c r="L1586" s="302"/>
      <c r="M1586" s="63">
        <f>+M1550</f>
        <v>106028981</v>
      </c>
      <c r="N1586" s="64" t="s">
        <v>82</v>
      </c>
      <c r="O1586" s="65">
        <f>108+281</f>
        <v>389</v>
      </c>
    </row>
    <row r="1587" spans="8:15" ht="16.5" thickBot="1" x14ac:dyDescent="0.3">
      <c r="H1587" s="303" t="s">
        <v>83</v>
      </c>
      <c r="I1587" s="304"/>
      <c r="J1587" s="304"/>
      <c r="K1587" s="304"/>
      <c r="L1587" s="305"/>
      <c r="M1587" s="66">
        <f>SUM(M1585:M1586)</f>
        <v>106198981</v>
      </c>
    </row>
    <row r="1588" spans="8:15" x14ac:dyDescent="0.25">
      <c r="H1588" s="67"/>
      <c r="I1588" s="67"/>
      <c r="J1588" s="67"/>
      <c r="K1588" s="67"/>
      <c r="L1588" s="67"/>
    </row>
    <row r="1589" spans="8:15" x14ac:dyDescent="0.25">
      <c r="H1589" s="41" t="s">
        <v>727</v>
      </c>
    </row>
    <row r="1590" spans="8:15" ht="12.75" customHeight="1" x14ac:dyDescent="0.25">
      <c r="M1590" s="68"/>
    </row>
    <row r="1591" spans="8:15" x14ac:dyDescent="0.25">
      <c r="H1591" s="40" t="s">
        <v>86</v>
      </c>
      <c r="K1591" s="69"/>
      <c r="M1591" s="68"/>
    </row>
    <row r="1592" spans="8:15" ht="10.5" customHeight="1" thickBot="1" x14ac:dyDescent="0.3"/>
    <row r="1593" spans="8:15" ht="15.75" thickBot="1" x14ac:dyDescent="0.3">
      <c r="H1593" s="306" t="s">
        <v>87</v>
      </c>
      <c r="I1593" s="307"/>
      <c r="J1593" s="307"/>
      <c r="K1593" s="308"/>
      <c r="M1593" s="40" t="s">
        <v>89</v>
      </c>
    </row>
    <row r="1594" spans="8:15" ht="30.75" thickBot="1" x14ac:dyDescent="0.3">
      <c r="H1594" s="70" t="s">
        <v>62</v>
      </c>
      <c r="I1594" s="71" t="s">
        <v>90</v>
      </c>
      <c r="J1594" s="204" t="s">
        <v>91</v>
      </c>
      <c r="K1594" s="73" t="s">
        <v>92</v>
      </c>
    </row>
    <row r="1595" spans="8:15" x14ac:dyDescent="0.25">
      <c r="H1595" s="75">
        <v>719</v>
      </c>
      <c r="I1595" s="76">
        <f>+O1575+O1577+O1579+O1581+O1583</f>
        <v>170000</v>
      </c>
      <c r="J1595" s="77">
        <f>+K1558</f>
        <v>15020000</v>
      </c>
      <c r="K1595" s="79">
        <f>+I1595+J1595</f>
        <v>15190000</v>
      </c>
    </row>
    <row r="1596" spans="8:15" x14ac:dyDescent="0.25">
      <c r="H1596" s="80">
        <v>721</v>
      </c>
      <c r="I1596" s="81">
        <v>0</v>
      </c>
      <c r="J1596" s="77">
        <f>+K1559</f>
        <v>80208481</v>
      </c>
      <c r="K1596" s="79">
        <f>+I1596+J1596</f>
        <v>80208481</v>
      </c>
    </row>
    <row r="1597" spans="8:15" x14ac:dyDescent="0.25">
      <c r="H1597" s="80">
        <v>722</v>
      </c>
      <c r="I1597" s="81"/>
      <c r="J1597" s="77">
        <f>+K1560</f>
        <v>0</v>
      </c>
      <c r="K1597" s="79">
        <f>+I1597+J1597</f>
        <v>0</v>
      </c>
    </row>
    <row r="1598" spans="8:15" ht="15.75" x14ac:dyDescent="0.25">
      <c r="H1598" s="80">
        <v>723</v>
      </c>
      <c r="I1598" s="81">
        <f>+O1584+O1582+O1580+O1578+O1576</f>
        <v>0</v>
      </c>
      <c r="J1598" s="77">
        <f>+K1561</f>
        <v>10730500</v>
      </c>
      <c r="K1598" s="79">
        <f>+I1598+J1598</f>
        <v>10730500</v>
      </c>
      <c r="M1598" s="109" t="s">
        <v>304</v>
      </c>
      <c r="N1598" s="84"/>
    </row>
    <row r="1599" spans="8:15" ht="16.5" thickBot="1" x14ac:dyDescent="0.3">
      <c r="H1599" s="85" t="s">
        <v>94</v>
      </c>
      <c r="I1599" s="86"/>
      <c r="J1599" s="77" t="e">
        <f>+K1562</f>
        <v>#REF!</v>
      </c>
      <c r="K1599" s="89" t="e">
        <f>+I1599+J1599</f>
        <v>#REF!</v>
      </c>
      <c r="M1599" s="45"/>
    </row>
    <row r="1600" spans="8:15" ht="16.5" thickBot="1" x14ac:dyDescent="0.3">
      <c r="H1600" s="90"/>
      <c r="I1600" s="94">
        <f>SUM(I1595:I1599)</f>
        <v>170000</v>
      </c>
      <c r="J1600" s="94" t="e">
        <f>SUM(J1595:J1599)</f>
        <v>#REF!</v>
      </c>
      <c r="K1600" s="95" t="e">
        <f>SUM(K1595:K1599)</f>
        <v>#REF!</v>
      </c>
    </row>
    <row r="1601" spans="8:15" ht="16.5" x14ac:dyDescent="0.25">
      <c r="H1601" s="39" t="s">
        <v>46</v>
      </c>
      <c r="I1601" s="40"/>
    </row>
    <row r="1602" spans="8:15" x14ac:dyDescent="0.25">
      <c r="H1602" s="41" t="s">
        <v>47</v>
      </c>
    </row>
    <row r="1603" spans="8:15" x14ac:dyDescent="0.25">
      <c r="H1603" s="41" t="s">
        <v>48</v>
      </c>
    </row>
    <row r="1604" spans="8:15" x14ac:dyDescent="0.25">
      <c r="H1604" s="41" t="s">
        <v>49</v>
      </c>
    </row>
    <row r="1605" spans="8:15" ht="12" customHeight="1" x14ac:dyDescent="0.25">
      <c r="H1605" s="40"/>
      <c r="I1605" s="40"/>
    </row>
    <row r="1606" spans="8:15" ht="15.75" x14ac:dyDescent="0.25">
      <c r="H1606" s="188" t="s">
        <v>728</v>
      </c>
      <c r="N1606" s="45"/>
    </row>
    <row r="1607" spans="8:15" ht="15.75" x14ac:dyDescent="0.25">
      <c r="H1607" s="47" t="s">
        <v>704</v>
      </c>
      <c r="N1607" s="47"/>
    </row>
    <row r="1608" spans="8:15" ht="16.5" x14ac:dyDescent="0.25">
      <c r="H1608" s="326" t="s">
        <v>683</v>
      </c>
      <c r="I1608" s="326"/>
      <c r="J1608" s="326"/>
      <c r="K1608" s="326"/>
      <c r="L1608" s="326"/>
      <c r="M1608" s="326"/>
      <c r="N1608" s="326"/>
      <c r="O1608" s="326"/>
    </row>
    <row r="1609" spans="8:15" ht="15.75" thickBot="1" x14ac:dyDescent="0.3"/>
    <row r="1610" spans="8:15" x14ac:dyDescent="0.25">
      <c r="H1610" s="327" t="s">
        <v>56</v>
      </c>
      <c r="I1610" s="322" t="s">
        <v>57</v>
      </c>
      <c r="J1610" s="322" t="s">
        <v>58</v>
      </c>
      <c r="K1610" s="322" t="s">
        <v>7</v>
      </c>
      <c r="L1610" s="322" t="s">
        <v>59</v>
      </c>
      <c r="M1610" s="322" t="s">
        <v>60</v>
      </c>
      <c r="N1610" s="322" t="s">
        <v>61</v>
      </c>
      <c r="O1610" s="324"/>
    </row>
    <row r="1611" spans="8:15" ht="15.75" thickBot="1" x14ac:dyDescent="0.3">
      <c r="H1611" s="328"/>
      <c r="I1611" s="323"/>
      <c r="J1611" s="323"/>
      <c r="K1611" s="323"/>
      <c r="L1611" s="323"/>
      <c r="M1611" s="323"/>
      <c r="N1611" s="51" t="s">
        <v>62</v>
      </c>
      <c r="O1611" s="52" t="s">
        <v>63</v>
      </c>
    </row>
    <row r="1612" spans="8:15" x14ac:dyDescent="0.25">
      <c r="H1612" s="318">
        <v>196</v>
      </c>
      <c r="I1612" s="312">
        <v>42520</v>
      </c>
      <c r="J1612" s="314" t="s">
        <v>297</v>
      </c>
      <c r="K1612" s="316" t="s">
        <v>729</v>
      </c>
      <c r="L1612" s="318" t="s">
        <v>66</v>
      </c>
      <c r="M1612" s="320">
        <v>140000</v>
      </c>
      <c r="N1612" s="53">
        <v>719</v>
      </c>
      <c r="O1612" s="54">
        <v>140000</v>
      </c>
    </row>
    <row r="1613" spans="8:15" ht="15.75" thickBot="1" x14ac:dyDescent="0.3">
      <c r="H1613" s="319"/>
      <c r="I1613" s="313"/>
      <c r="J1613" s="315"/>
      <c r="K1613" s="317"/>
      <c r="L1613" s="319"/>
      <c r="M1613" s="321"/>
      <c r="N1613" s="55">
        <v>721</v>
      </c>
      <c r="O1613" s="56">
        <f>+M1612-O1612</f>
        <v>0</v>
      </c>
    </row>
    <row r="1614" spans="8:15" x14ac:dyDescent="0.25">
      <c r="H1614" s="318">
        <v>197</v>
      </c>
      <c r="I1614" s="312">
        <v>42520</v>
      </c>
      <c r="J1614" s="314" t="s">
        <v>70</v>
      </c>
      <c r="K1614" s="316" t="s">
        <v>730</v>
      </c>
      <c r="L1614" s="318" t="s">
        <v>66</v>
      </c>
      <c r="M1614" s="320">
        <v>60000</v>
      </c>
      <c r="N1614" s="53">
        <v>719</v>
      </c>
      <c r="O1614" s="54">
        <v>60000</v>
      </c>
    </row>
    <row r="1615" spans="8:15" ht="15.75" thickBot="1" x14ac:dyDescent="0.3">
      <c r="H1615" s="319"/>
      <c r="I1615" s="313"/>
      <c r="J1615" s="315"/>
      <c r="K1615" s="317"/>
      <c r="L1615" s="319"/>
      <c r="M1615" s="321"/>
      <c r="N1615" s="55">
        <v>721</v>
      </c>
      <c r="O1615" s="56">
        <f>+M1614-O1614</f>
        <v>0</v>
      </c>
    </row>
    <row r="1616" spans="8:15" ht="15" customHeight="1" x14ac:dyDescent="0.25">
      <c r="H1616" s="318">
        <v>198</v>
      </c>
      <c r="I1616" s="312">
        <v>42520</v>
      </c>
      <c r="J1616" s="314" t="s">
        <v>251</v>
      </c>
      <c r="K1616" s="316" t="s">
        <v>731</v>
      </c>
      <c r="L1616" s="318" t="s">
        <v>66</v>
      </c>
      <c r="M1616" s="320">
        <v>60000</v>
      </c>
      <c r="N1616" s="53">
        <v>719</v>
      </c>
      <c r="O1616" s="54">
        <v>60000</v>
      </c>
    </row>
    <row r="1617" spans="8:15" ht="15.75" customHeight="1" thickBot="1" x14ac:dyDescent="0.3">
      <c r="H1617" s="319"/>
      <c r="I1617" s="313"/>
      <c r="J1617" s="315"/>
      <c r="K1617" s="317"/>
      <c r="L1617" s="319"/>
      <c r="M1617" s="321"/>
      <c r="N1617" s="55">
        <v>721</v>
      </c>
      <c r="O1617" s="56">
        <f>+M1616-O1616</f>
        <v>0</v>
      </c>
    </row>
    <row r="1618" spans="8:15" x14ac:dyDescent="0.25">
      <c r="H1618" s="318"/>
      <c r="I1618" s="312"/>
      <c r="J1618" s="314"/>
      <c r="K1618" s="316"/>
      <c r="L1618" s="318"/>
      <c r="M1618" s="320"/>
      <c r="N1618" s="53">
        <v>719</v>
      </c>
      <c r="O1618" s="54"/>
    </row>
    <row r="1619" spans="8:15" ht="15.75" thickBot="1" x14ac:dyDescent="0.3">
      <c r="H1619" s="319"/>
      <c r="I1619" s="313"/>
      <c r="J1619" s="315"/>
      <c r="K1619" s="317"/>
      <c r="L1619" s="319"/>
      <c r="M1619" s="321"/>
      <c r="N1619" s="55">
        <v>721</v>
      </c>
      <c r="O1619" s="56">
        <f>+M1618-O1618</f>
        <v>0</v>
      </c>
    </row>
    <row r="1620" spans="8:15" x14ac:dyDescent="0.25">
      <c r="H1620" s="318"/>
      <c r="I1620" s="312"/>
      <c r="J1620" s="314"/>
      <c r="K1620" s="318"/>
      <c r="L1620" s="318"/>
      <c r="M1620" s="320"/>
      <c r="N1620" s="53">
        <v>719</v>
      </c>
      <c r="O1620" s="54"/>
    </row>
    <row r="1621" spans="8:15" ht="15.75" thickBot="1" x14ac:dyDescent="0.3">
      <c r="H1621" s="319"/>
      <c r="I1621" s="313"/>
      <c r="J1621" s="315"/>
      <c r="K1621" s="319"/>
      <c r="L1621" s="319"/>
      <c r="M1621" s="321"/>
      <c r="N1621" s="55">
        <v>721</v>
      </c>
      <c r="O1621" s="56">
        <f>+M1620-O1620</f>
        <v>0</v>
      </c>
    </row>
    <row r="1622" spans="8:15" ht="16.5" thickBot="1" x14ac:dyDescent="0.3">
      <c r="H1622" s="297" t="s">
        <v>80</v>
      </c>
      <c r="I1622" s="298"/>
      <c r="J1622" s="298"/>
      <c r="K1622" s="298"/>
      <c r="L1622" s="299"/>
      <c r="M1622" s="62">
        <f>SUM(M1612:M1621)</f>
        <v>260000</v>
      </c>
    </row>
    <row r="1623" spans="8:15" ht="16.5" thickBot="1" x14ac:dyDescent="0.3">
      <c r="H1623" s="300" t="s">
        <v>81</v>
      </c>
      <c r="I1623" s="301"/>
      <c r="J1623" s="301"/>
      <c r="K1623" s="301"/>
      <c r="L1623" s="302"/>
      <c r="M1623" s="63">
        <f>+M1587</f>
        <v>106198981</v>
      </c>
      <c r="N1623" s="64" t="s">
        <v>82</v>
      </c>
      <c r="O1623" s="65">
        <f>108+281</f>
        <v>389</v>
      </c>
    </row>
    <row r="1624" spans="8:15" ht="16.5" thickBot="1" x14ac:dyDescent="0.3">
      <c r="H1624" s="303" t="s">
        <v>83</v>
      </c>
      <c r="I1624" s="304"/>
      <c r="J1624" s="304"/>
      <c r="K1624" s="304"/>
      <c r="L1624" s="305"/>
      <c r="M1624" s="66">
        <f>SUM(M1622:M1623)</f>
        <v>106458981</v>
      </c>
    </row>
    <row r="1625" spans="8:15" x14ac:dyDescent="0.25">
      <c r="H1625" s="67"/>
      <c r="I1625" s="67"/>
      <c r="J1625" s="67"/>
      <c r="K1625" s="67"/>
      <c r="L1625" s="67"/>
    </row>
    <row r="1626" spans="8:15" x14ac:dyDescent="0.25">
      <c r="H1626" s="41" t="s">
        <v>732</v>
      </c>
    </row>
    <row r="1627" spans="8:15" ht="12.75" customHeight="1" x14ac:dyDescent="0.25">
      <c r="M1627" s="68"/>
    </row>
    <row r="1628" spans="8:15" x14ac:dyDescent="0.25">
      <c r="H1628" s="40" t="s">
        <v>86</v>
      </c>
      <c r="K1628" s="69"/>
      <c r="M1628" s="68"/>
    </row>
    <row r="1629" spans="8:15" ht="11.25" customHeight="1" thickBot="1" x14ac:dyDescent="0.3"/>
    <row r="1630" spans="8:15" ht="15.75" thickBot="1" x14ac:dyDescent="0.3">
      <c r="H1630" s="306" t="s">
        <v>87</v>
      </c>
      <c r="I1630" s="307"/>
      <c r="J1630" s="307"/>
      <c r="K1630" s="308"/>
      <c r="M1630" s="40" t="s">
        <v>89</v>
      </c>
    </row>
    <row r="1631" spans="8:15" ht="30.75" thickBot="1" x14ac:dyDescent="0.3">
      <c r="H1631" s="70" t="s">
        <v>62</v>
      </c>
      <c r="I1631" s="71" t="s">
        <v>90</v>
      </c>
      <c r="J1631" s="204" t="s">
        <v>91</v>
      </c>
      <c r="K1631" s="73" t="s">
        <v>92</v>
      </c>
    </row>
    <row r="1632" spans="8:15" x14ac:dyDescent="0.25">
      <c r="H1632" s="75">
        <v>719</v>
      </c>
      <c r="I1632" s="76">
        <f>+O1612+O1614+O1616+O1618+O1620</f>
        <v>260000</v>
      </c>
      <c r="J1632" s="77">
        <f>+K1595</f>
        <v>15190000</v>
      </c>
      <c r="K1632" s="79">
        <f>+I1632+J1632</f>
        <v>15450000</v>
      </c>
    </row>
    <row r="1633" spans="8:15" x14ac:dyDescent="0.25">
      <c r="H1633" s="80">
        <v>721</v>
      </c>
      <c r="I1633" s="81">
        <v>0</v>
      </c>
      <c r="J1633" s="77">
        <f>+K1596</f>
        <v>80208481</v>
      </c>
      <c r="K1633" s="79">
        <f>+I1633+J1633</f>
        <v>80208481</v>
      </c>
    </row>
    <row r="1634" spans="8:15" x14ac:dyDescent="0.25">
      <c r="H1634" s="80">
        <v>722</v>
      </c>
      <c r="I1634" s="81"/>
      <c r="J1634" s="77">
        <f>+K1597</f>
        <v>0</v>
      </c>
      <c r="K1634" s="79">
        <f>+I1634+J1634</f>
        <v>0</v>
      </c>
    </row>
    <row r="1635" spans="8:15" ht="15.75" x14ac:dyDescent="0.25">
      <c r="H1635" s="80">
        <v>723</v>
      </c>
      <c r="I1635" s="81">
        <f>+O1621+O1619+O1617+O1615+O1613</f>
        <v>0</v>
      </c>
      <c r="J1635" s="77">
        <f>+K1598</f>
        <v>10730500</v>
      </c>
      <c r="K1635" s="79">
        <f>+I1635+J1635</f>
        <v>10730500</v>
      </c>
      <c r="M1635" s="109" t="s">
        <v>304</v>
      </c>
      <c r="N1635" s="84"/>
    </row>
    <row r="1636" spans="8:15" ht="16.5" thickBot="1" x14ac:dyDescent="0.3">
      <c r="H1636" s="85" t="s">
        <v>94</v>
      </c>
      <c r="I1636" s="86"/>
      <c r="J1636" s="77" t="e">
        <f>+K1599</f>
        <v>#REF!</v>
      </c>
      <c r="K1636" s="89" t="e">
        <f>+I1636+J1636</f>
        <v>#REF!</v>
      </c>
      <c r="M1636" s="45"/>
    </row>
    <row r="1637" spans="8:15" ht="16.5" thickBot="1" x14ac:dyDescent="0.3">
      <c r="H1637" s="90"/>
      <c r="I1637" s="94">
        <f>SUM(I1632:I1636)</f>
        <v>260000</v>
      </c>
      <c r="J1637" s="94" t="e">
        <f>SUM(J1632:J1636)</f>
        <v>#REF!</v>
      </c>
      <c r="K1637" s="95" t="e">
        <f>SUM(K1632:K1636)</f>
        <v>#REF!</v>
      </c>
    </row>
    <row r="1638" spans="8:15" ht="16.5" x14ac:dyDescent="0.25">
      <c r="H1638" s="39" t="s">
        <v>46</v>
      </c>
      <c r="I1638" s="40"/>
    </row>
    <row r="1639" spans="8:15" x14ac:dyDescent="0.25">
      <c r="H1639" s="41" t="s">
        <v>47</v>
      </c>
    </row>
    <row r="1640" spans="8:15" x14ac:dyDescent="0.25">
      <c r="H1640" s="41" t="s">
        <v>48</v>
      </c>
    </row>
    <row r="1641" spans="8:15" x14ac:dyDescent="0.25">
      <c r="H1641" s="41" t="s">
        <v>49</v>
      </c>
    </row>
    <row r="1642" spans="8:15" ht="12" customHeight="1" x14ac:dyDescent="0.25">
      <c r="H1642" s="40"/>
      <c r="I1642" s="40"/>
    </row>
    <row r="1643" spans="8:15" ht="15.75" x14ac:dyDescent="0.25">
      <c r="H1643" s="188" t="s">
        <v>733</v>
      </c>
      <c r="N1643" s="45"/>
    </row>
    <row r="1644" spans="8:15" ht="15.75" x14ac:dyDescent="0.25">
      <c r="H1644" s="47" t="s">
        <v>704</v>
      </c>
      <c r="N1644" s="47"/>
    </row>
    <row r="1645" spans="8:15" ht="16.5" x14ac:dyDescent="0.25">
      <c r="H1645" s="326" t="s">
        <v>683</v>
      </c>
      <c r="I1645" s="326"/>
      <c r="J1645" s="326"/>
      <c r="K1645" s="326"/>
      <c r="L1645" s="326"/>
      <c r="M1645" s="326"/>
      <c r="N1645" s="326"/>
      <c r="O1645" s="326"/>
    </row>
    <row r="1646" spans="8:15" ht="15.75" thickBot="1" x14ac:dyDescent="0.3"/>
    <row r="1647" spans="8:15" x14ac:dyDescent="0.25">
      <c r="H1647" s="327" t="s">
        <v>56</v>
      </c>
      <c r="I1647" s="322" t="s">
        <v>57</v>
      </c>
      <c r="J1647" s="322" t="s">
        <v>58</v>
      </c>
      <c r="K1647" s="322" t="s">
        <v>7</v>
      </c>
      <c r="L1647" s="322" t="s">
        <v>59</v>
      </c>
      <c r="M1647" s="322" t="s">
        <v>60</v>
      </c>
      <c r="N1647" s="322" t="s">
        <v>61</v>
      </c>
      <c r="O1647" s="324"/>
    </row>
    <row r="1648" spans="8:15" ht="15.75" thickBot="1" x14ac:dyDescent="0.3">
      <c r="H1648" s="328"/>
      <c r="I1648" s="323"/>
      <c r="J1648" s="323"/>
      <c r="K1648" s="323"/>
      <c r="L1648" s="323"/>
      <c r="M1648" s="323"/>
      <c r="N1648" s="51" t="s">
        <v>62</v>
      </c>
      <c r="O1648" s="52" t="s">
        <v>63</v>
      </c>
    </row>
    <row r="1649" spans="8:15" ht="15" customHeight="1" x14ac:dyDescent="0.25">
      <c r="H1649" s="318">
        <v>199</v>
      </c>
      <c r="I1649" s="312">
        <v>42520</v>
      </c>
      <c r="J1649" s="314" t="s">
        <v>221</v>
      </c>
      <c r="K1649" s="316" t="s">
        <v>734</v>
      </c>
      <c r="L1649" s="318" t="s">
        <v>5</v>
      </c>
      <c r="M1649" s="320">
        <v>42000</v>
      </c>
      <c r="N1649" s="53">
        <v>719</v>
      </c>
      <c r="O1649" s="54">
        <v>30000</v>
      </c>
    </row>
    <row r="1650" spans="8:15" ht="15.75" customHeight="1" thickBot="1" x14ac:dyDescent="0.3">
      <c r="H1650" s="319"/>
      <c r="I1650" s="313"/>
      <c r="J1650" s="315"/>
      <c r="K1650" s="317"/>
      <c r="L1650" s="319"/>
      <c r="M1650" s="321"/>
      <c r="N1650" s="55">
        <v>721</v>
      </c>
      <c r="O1650" s="56">
        <f>+M1649-O1649</f>
        <v>12000</v>
      </c>
    </row>
    <row r="1651" spans="8:15" ht="15" customHeight="1" x14ac:dyDescent="0.25">
      <c r="H1651" s="318">
        <v>200</v>
      </c>
      <c r="I1651" s="312">
        <v>42520</v>
      </c>
      <c r="J1651" s="314" t="s">
        <v>70</v>
      </c>
      <c r="K1651" s="316" t="s">
        <v>735</v>
      </c>
      <c r="L1651" s="318" t="s">
        <v>5</v>
      </c>
      <c r="M1651" s="320">
        <v>224000</v>
      </c>
      <c r="N1651" s="53">
        <v>719</v>
      </c>
      <c r="O1651" s="54">
        <v>160000</v>
      </c>
    </row>
    <row r="1652" spans="8:15" ht="15.75" customHeight="1" thickBot="1" x14ac:dyDescent="0.3">
      <c r="H1652" s="319"/>
      <c r="I1652" s="313"/>
      <c r="J1652" s="315"/>
      <c r="K1652" s="317"/>
      <c r="L1652" s="319"/>
      <c r="M1652" s="321"/>
      <c r="N1652" s="55">
        <v>721</v>
      </c>
      <c r="O1652" s="56">
        <f>+M1651-O1651</f>
        <v>64000</v>
      </c>
    </row>
    <row r="1653" spans="8:15" ht="15" customHeight="1" x14ac:dyDescent="0.25">
      <c r="H1653" s="318">
        <v>201</v>
      </c>
      <c r="I1653" s="312">
        <v>42520</v>
      </c>
      <c r="J1653" s="314" t="s">
        <v>231</v>
      </c>
      <c r="K1653" s="316" t="s">
        <v>736</v>
      </c>
      <c r="L1653" s="318" t="s">
        <v>5</v>
      </c>
      <c r="M1653" s="320">
        <v>56000</v>
      </c>
      <c r="N1653" s="53">
        <v>719</v>
      </c>
      <c r="O1653" s="54">
        <v>40000</v>
      </c>
    </row>
    <row r="1654" spans="8:15" ht="15.75" customHeight="1" thickBot="1" x14ac:dyDescent="0.3">
      <c r="H1654" s="319"/>
      <c r="I1654" s="313"/>
      <c r="J1654" s="315"/>
      <c r="K1654" s="317"/>
      <c r="L1654" s="319"/>
      <c r="M1654" s="321"/>
      <c r="N1654" s="55">
        <v>721</v>
      </c>
      <c r="O1654" s="56">
        <f>+M1653-O1653</f>
        <v>16000</v>
      </c>
    </row>
    <row r="1655" spans="8:15" ht="15" customHeight="1" x14ac:dyDescent="0.25">
      <c r="H1655" s="318">
        <v>202</v>
      </c>
      <c r="I1655" s="312">
        <v>42520</v>
      </c>
      <c r="J1655" s="314" t="s">
        <v>297</v>
      </c>
      <c r="K1655" s="316" t="s">
        <v>735</v>
      </c>
      <c r="L1655" s="318" t="s">
        <v>5</v>
      </c>
      <c r="M1655" s="320">
        <v>546000</v>
      </c>
      <c r="N1655" s="53">
        <v>719</v>
      </c>
      <c r="O1655" s="54">
        <v>390000</v>
      </c>
    </row>
    <row r="1656" spans="8:15" ht="15.75" customHeight="1" thickBot="1" x14ac:dyDescent="0.3">
      <c r="H1656" s="319"/>
      <c r="I1656" s="313"/>
      <c r="J1656" s="315"/>
      <c r="K1656" s="317"/>
      <c r="L1656" s="319"/>
      <c r="M1656" s="321"/>
      <c r="N1656" s="55">
        <v>721</v>
      </c>
      <c r="O1656" s="56">
        <f>+M1655-O1655</f>
        <v>156000</v>
      </c>
    </row>
    <row r="1657" spans="8:15" x14ac:dyDescent="0.25">
      <c r="H1657" s="318"/>
      <c r="I1657" s="312"/>
      <c r="J1657" s="314"/>
      <c r="K1657" s="318"/>
      <c r="L1657" s="318"/>
      <c r="M1657" s="320"/>
      <c r="N1657" s="53">
        <v>719</v>
      </c>
      <c r="O1657" s="54"/>
    </row>
    <row r="1658" spans="8:15" ht="15.75" thickBot="1" x14ac:dyDescent="0.3">
      <c r="H1658" s="319"/>
      <c r="I1658" s="313"/>
      <c r="J1658" s="315"/>
      <c r="K1658" s="319"/>
      <c r="L1658" s="319"/>
      <c r="M1658" s="321"/>
      <c r="N1658" s="55">
        <v>721</v>
      </c>
      <c r="O1658" s="56">
        <f>+M1657-O1657</f>
        <v>0</v>
      </c>
    </row>
    <row r="1659" spans="8:15" ht="16.5" thickBot="1" x14ac:dyDescent="0.3">
      <c r="H1659" s="297" t="s">
        <v>80</v>
      </c>
      <c r="I1659" s="298"/>
      <c r="J1659" s="298"/>
      <c r="K1659" s="298"/>
      <c r="L1659" s="299"/>
      <c r="M1659" s="62">
        <f>SUM(M1649:M1658)</f>
        <v>868000</v>
      </c>
    </row>
    <row r="1660" spans="8:15" ht="16.5" thickBot="1" x14ac:dyDescent="0.3">
      <c r="H1660" s="300" t="s">
        <v>81</v>
      </c>
      <c r="I1660" s="301"/>
      <c r="J1660" s="301"/>
      <c r="K1660" s="301"/>
      <c r="L1660" s="302"/>
      <c r="M1660" s="63">
        <f>+M1624</f>
        <v>106458981</v>
      </c>
      <c r="N1660" s="64" t="s">
        <v>82</v>
      </c>
      <c r="O1660" s="65">
        <f>941+20+470+17</f>
        <v>1448</v>
      </c>
    </row>
    <row r="1661" spans="8:15" ht="16.5" thickBot="1" x14ac:dyDescent="0.3">
      <c r="H1661" s="303" t="s">
        <v>83</v>
      </c>
      <c r="I1661" s="304"/>
      <c r="J1661" s="304"/>
      <c r="K1661" s="304"/>
      <c r="L1661" s="305"/>
      <c r="M1661" s="66">
        <f>SUM(M1659:M1660)</f>
        <v>107326981</v>
      </c>
    </row>
    <row r="1662" spans="8:15" x14ac:dyDescent="0.25">
      <c r="H1662" s="67"/>
      <c r="I1662" s="67"/>
      <c r="J1662" s="67"/>
      <c r="K1662" s="67"/>
      <c r="L1662" s="67"/>
    </row>
    <row r="1663" spans="8:15" x14ac:dyDescent="0.25">
      <c r="H1663" s="41" t="s">
        <v>737</v>
      </c>
    </row>
    <row r="1664" spans="8:15" ht="11.25" customHeight="1" x14ac:dyDescent="0.25">
      <c r="M1664" s="68"/>
    </row>
    <row r="1665" spans="8:14" x14ac:dyDescent="0.25">
      <c r="H1665" s="40" t="s">
        <v>86</v>
      </c>
      <c r="K1665" s="69"/>
      <c r="M1665" s="68"/>
    </row>
    <row r="1666" spans="8:14" ht="13.5" customHeight="1" thickBot="1" x14ac:dyDescent="0.3"/>
    <row r="1667" spans="8:14" ht="15.75" thickBot="1" x14ac:dyDescent="0.3">
      <c r="H1667" s="306" t="s">
        <v>87</v>
      </c>
      <c r="I1667" s="307"/>
      <c r="J1667" s="307"/>
      <c r="K1667" s="308"/>
      <c r="M1667" s="40" t="s">
        <v>89</v>
      </c>
    </row>
    <row r="1668" spans="8:14" ht="30.75" thickBot="1" x14ac:dyDescent="0.3">
      <c r="H1668" s="70" t="s">
        <v>62</v>
      </c>
      <c r="I1668" s="71" t="s">
        <v>90</v>
      </c>
      <c r="J1668" s="204" t="s">
        <v>91</v>
      </c>
      <c r="K1668" s="73" t="s">
        <v>92</v>
      </c>
    </row>
    <row r="1669" spans="8:14" x14ac:dyDescent="0.25">
      <c r="H1669" s="75">
        <v>719</v>
      </c>
      <c r="I1669" s="76">
        <f>+O1649+O1651+O1653+O1655+O1657</f>
        <v>620000</v>
      </c>
      <c r="J1669" s="77">
        <f>+K1632</f>
        <v>15450000</v>
      </c>
      <c r="K1669" s="79">
        <f>+I1669+J1669</f>
        <v>16070000</v>
      </c>
    </row>
    <row r="1670" spans="8:14" x14ac:dyDescent="0.25">
      <c r="H1670" s="80">
        <v>721</v>
      </c>
      <c r="I1670" s="81">
        <f>+O1650+O1652+O1654+O1656</f>
        <v>248000</v>
      </c>
      <c r="J1670" s="77">
        <f>+K1633</f>
        <v>80208481</v>
      </c>
      <c r="K1670" s="79">
        <f>+I1670+J1670</f>
        <v>80456481</v>
      </c>
    </row>
    <row r="1671" spans="8:14" x14ac:dyDescent="0.25">
      <c r="H1671" s="80">
        <v>722</v>
      </c>
      <c r="I1671" s="81"/>
      <c r="J1671" s="77">
        <f>+K1634</f>
        <v>0</v>
      </c>
      <c r="K1671" s="79">
        <f>+I1671+J1671</f>
        <v>0</v>
      </c>
    </row>
    <row r="1672" spans="8:14" ht="15.75" x14ac:dyDescent="0.25">
      <c r="H1672" s="80">
        <v>723</v>
      </c>
      <c r="I1672" s="81"/>
      <c r="J1672" s="77">
        <f>+K1635</f>
        <v>10730500</v>
      </c>
      <c r="K1672" s="79">
        <f>+I1672+J1672</f>
        <v>10730500</v>
      </c>
      <c r="M1672" s="109" t="s">
        <v>304</v>
      </c>
      <c r="N1672" s="84"/>
    </row>
    <row r="1673" spans="8:14" ht="16.5" thickBot="1" x14ac:dyDescent="0.3">
      <c r="H1673" s="85" t="s">
        <v>94</v>
      </c>
      <c r="I1673" s="86"/>
      <c r="J1673" s="77" t="e">
        <f>+K1636</f>
        <v>#REF!</v>
      </c>
      <c r="K1673" s="89" t="e">
        <f>+I1673+J1673</f>
        <v>#REF!</v>
      </c>
      <c r="M1673" s="45"/>
    </row>
    <row r="1674" spans="8:14" ht="16.5" thickBot="1" x14ac:dyDescent="0.3">
      <c r="H1674" s="90"/>
      <c r="I1674" s="94">
        <f>SUM(I1669:I1673)</f>
        <v>868000</v>
      </c>
      <c r="J1674" s="94" t="e">
        <f>SUM(J1669:J1673)</f>
        <v>#REF!</v>
      </c>
      <c r="K1674" s="95" t="e">
        <f>SUM(K1669:K1673)</f>
        <v>#REF!</v>
      </c>
    </row>
    <row r="1675" spans="8:14" ht="16.5" x14ac:dyDescent="0.25">
      <c r="H1675" s="39" t="s">
        <v>46</v>
      </c>
      <c r="I1675" s="40"/>
    </row>
    <row r="1676" spans="8:14" x14ac:dyDescent="0.25">
      <c r="H1676" s="41" t="s">
        <v>47</v>
      </c>
    </row>
    <row r="1677" spans="8:14" x14ac:dyDescent="0.25">
      <c r="H1677" s="41" t="s">
        <v>48</v>
      </c>
    </row>
    <row r="1678" spans="8:14" x14ac:dyDescent="0.25">
      <c r="H1678" s="41" t="s">
        <v>49</v>
      </c>
    </row>
    <row r="1679" spans="8:14" ht="12.75" customHeight="1" x14ac:dyDescent="0.25">
      <c r="H1679" s="40"/>
      <c r="I1679" s="40"/>
    </row>
    <row r="1680" spans="8:14" ht="15.75" x14ac:dyDescent="0.25">
      <c r="H1680" s="188" t="s">
        <v>738</v>
      </c>
      <c r="N1680" s="45"/>
    </row>
    <row r="1681" spans="8:15" ht="15.75" x14ac:dyDescent="0.25">
      <c r="H1681" s="47" t="s">
        <v>704</v>
      </c>
      <c r="N1681" s="47"/>
    </row>
    <row r="1682" spans="8:15" ht="16.5" x14ac:dyDescent="0.25">
      <c r="H1682" s="326" t="s">
        <v>683</v>
      </c>
      <c r="I1682" s="326"/>
      <c r="J1682" s="326"/>
      <c r="K1682" s="326"/>
      <c r="L1682" s="326"/>
      <c r="M1682" s="326"/>
      <c r="N1682" s="326"/>
      <c r="O1682" s="326"/>
    </row>
    <row r="1683" spans="8:15" ht="15.75" thickBot="1" x14ac:dyDescent="0.3"/>
    <row r="1684" spans="8:15" x14ac:dyDescent="0.25">
      <c r="H1684" s="327" t="s">
        <v>56</v>
      </c>
      <c r="I1684" s="322" t="s">
        <v>57</v>
      </c>
      <c r="J1684" s="322" t="s">
        <v>58</v>
      </c>
      <c r="K1684" s="322" t="s">
        <v>7</v>
      </c>
      <c r="L1684" s="322" t="s">
        <v>59</v>
      </c>
      <c r="M1684" s="322" t="s">
        <v>60</v>
      </c>
      <c r="N1684" s="322" t="s">
        <v>61</v>
      </c>
      <c r="O1684" s="324"/>
    </row>
    <row r="1685" spans="8:15" ht="15.75" thickBot="1" x14ac:dyDescent="0.3">
      <c r="H1685" s="328"/>
      <c r="I1685" s="323"/>
      <c r="J1685" s="323"/>
      <c r="K1685" s="323"/>
      <c r="L1685" s="323"/>
      <c r="M1685" s="323"/>
      <c r="N1685" s="51" t="s">
        <v>62</v>
      </c>
      <c r="O1685" s="52" t="s">
        <v>63</v>
      </c>
    </row>
    <row r="1686" spans="8:15" ht="15" customHeight="1" x14ac:dyDescent="0.25">
      <c r="H1686" s="318">
        <v>203</v>
      </c>
      <c r="I1686" s="312">
        <v>42520</v>
      </c>
      <c r="J1686" s="314" t="s">
        <v>221</v>
      </c>
      <c r="K1686" s="316" t="s">
        <v>739</v>
      </c>
      <c r="L1686" s="318" t="s">
        <v>5</v>
      </c>
      <c r="M1686" s="320">
        <v>28000</v>
      </c>
      <c r="N1686" s="53">
        <v>719</v>
      </c>
      <c r="O1686" s="54">
        <v>20000</v>
      </c>
    </row>
    <row r="1687" spans="8:15" ht="15.75" customHeight="1" thickBot="1" x14ac:dyDescent="0.3">
      <c r="H1687" s="319"/>
      <c r="I1687" s="313"/>
      <c r="J1687" s="315"/>
      <c r="K1687" s="317"/>
      <c r="L1687" s="319"/>
      <c r="M1687" s="321"/>
      <c r="N1687" s="55">
        <v>721</v>
      </c>
      <c r="O1687" s="56">
        <f>+M1686-O1686</f>
        <v>8000</v>
      </c>
    </row>
    <row r="1688" spans="8:15" ht="15" customHeight="1" x14ac:dyDescent="0.25">
      <c r="H1688" s="318">
        <v>204</v>
      </c>
      <c r="I1688" s="312">
        <v>42520</v>
      </c>
      <c r="J1688" s="314" t="s">
        <v>70</v>
      </c>
      <c r="K1688" s="316" t="s">
        <v>740</v>
      </c>
      <c r="L1688" s="318" t="s">
        <v>5</v>
      </c>
      <c r="M1688" s="320">
        <v>238000</v>
      </c>
      <c r="N1688" s="53">
        <v>719</v>
      </c>
      <c r="O1688" s="54">
        <v>170000</v>
      </c>
    </row>
    <row r="1689" spans="8:15" ht="15.75" customHeight="1" thickBot="1" x14ac:dyDescent="0.3">
      <c r="H1689" s="319"/>
      <c r="I1689" s="313"/>
      <c r="J1689" s="315"/>
      <c r="K1689" s="317"/>
      <c r="L1689" s="319"/>
      <c r="M1689" s="321"/>
      <c r="N1689" s="55">
        <v>721</v>
      </c>
      <c r="O1689" s="56">
        <f>+M1688-O1688</f>
        <v>68000</v>
      </c>
    </row>
    <row r="1690" spans="8:15" ht="15" customHeight="1" x14ac:dyDescent="0.25">
      <c r="H1690" s="318">
        <v>205</v>
      </c>
      <c r="I1690" s="312">
        <v>42520</v>
      </c>
      <c r="J1690" s="314" t="s">
        <v>231</v>
      </c>
      <c r="K1690" s="316" t="s">
        <v>741</v>
      </c>
      <c r="L1690" s="318" t="s">
        <v>5</v>
      </c>
      <c r="M1690" s="320">
        <v>84000</v>
      </c>
      <c r="N1690" s="53">
        <v>719</v>
      </c>
      <c r="O1690" s="54">
        <v>60000</v>
      </c>
    </row>
    <row r="1691" spans="8:15" ht="15.75" customHeight="1" thickBot="1" x14ac:dyDescent="0.3">
      <c r="H1691" s="319"/>
      <c r="I1691" s="313"/>
      <c r="J1691" s="315"/>
      <c r="K1691" s="317"/>
      <c r="L1691" s="319"/>
      <c r="M1691" s="321"/>
      <c r="N1691" s="55">
        <v>721</v>
      </c>
      <c r="O1691" s="56">
        <f>+M1690-O1690</f>
        <v>24000</v>
      </c>
    </row>
    <row r="1692" spans="8:15" ht="15" customHeight="1" x14ac:dyDescent="0.25">
      <c r="H1692" s="318">
        <v>206</v>
      </c>
      <c r="I1692" s="312">
        <v>42520</v>
      </c>
      <c r="J1692" s="314" t="s">
        <v>297</v>
      </c>
      <c r="K1692" s="316" t="s">
        <v>740</v>
      </c>
      <c r="L1692" s="318" t="s">
        <v>5</v>
      </c>
      <c r="M1692" s="320">
        <v>504000</v>
      </c>
      <c r="N1692" s="53">
        <v>719</v>
      </c>
      <c r="O1692" s="54">
        <v>360000</v>
      </c>
    </row>
    <row r="1693" spans="8:15" ht="15.75" customHeight="1" thickBot="1" x14ac:dyDescent="0.3">
      <c r="H1693" s="319"/>
      <c r="I1693" s="313"/>
      <c r="J1693" s="315"/>
      <c r="K1693" s="317"/>
      <c r="L1693" s="319"/>
      <c r="M1693" s="321"/>
      <c r="N1693" s="55">
        <v>721</v>
      </c>
      <c r="O1693" s="56">
        <f>+M1692-O1692</f>
        <v>144000</v>
      </c>
    </row>
    <row r="1694" spans="8:15" x14ac:dyDescent="0.25">
      <c r="H1694" s="318"/>
      <c r="I1694" s="312"/>
      <c r="J1694" s="314"/>
      <c r="K1694" s="318"/>
      <c r="L1694" s="318"/>
      <c r="M1694" s="320"/>
      <c r="N1694" s="53">
        <v>719</v>
      </c>
      <c r="O1694" s="54"/>
    </row>
    <row r="1695" spans="8:15" ht="15.75" thickBot="1" x14ac:dyDescent="0.3">
      <c r="H1695" s="319"/>
      <c r="I1695" s="313"/>
      <c r="J1695" s="315"/>
      <c r="K1695" s="319"/>
      <c r="L1695" s="319"/>
      <c r="M1695" s="321"/>
      <c r="N1695" s="55">
        <v>721</v>
      </c>
      <c r="O1695" s="56">
        <f>+M1694-O1694</f>
        <v>0</v>
      </c>
    </row>
    <row r="1696" spans="8:15" ht="16.5" thickBot="1" x14ac:dyDescent="0.3">
      <c r="H1696" s="297" t="s">
        <v>80</v>
      </c>
      <c r="I1696" s="298"/>
      <c r="J1696" s="298"/>
      <c r="K1696" s="298"/>
      <c r="L1696" s="299"/>
      <c r="M1696" s="62">
        <f>SUM(M1686:M1695)</f>
        <v>854000</v>
      </c>
    </row>
    <row r="1697" spans="8:15" ht="16.5" thickBot="1" x14ac:dyDescent="0.3">
      <c r="H1697" s="300" t="s">
        <v>81</v>
      </c>
      <c r="I1697" s="301"/>
      <c r="J1697" s="301"/>
      <c r="K1697" s="301"/>
      <c r="L1697" s="302"/>
      <c r="M1697" s="63">
        <f>+M1661</f>
        <v>107326981</v>
      </c>
      <c r="N1697" s="64" t="s">
        <v>82</v>
      </c>
      <c r="O1697" s="65">
        <f>746+26+428+20</f>
        <v>1220</v>
      </c>
    </row>
    <row r="1698" spans="8:15" ht="16.5" thickBot="1" x14ac:dyDescent="0.3">
      <c r="H1698" s="303" t="s">
        <v>83</v>
      </c>
      <c r="I1698" s="304"/>
      <c r="J1698" s="304"/>
      <c r="K1698" s="304"/>
      <c r="L1698" s="305"/>
      <c r="M1698" s="66">
        <f>SUM(M1696:M1697)</f>
        <v>108180981</v>
      </c>
    </row>
    <row r="1699" spans="8:15" x14ac:dyDescent="0.25">
      <c r="H1699" s="67"/>
      <c r="I1699" s="67"/>
      <c r="J1699" s="67"/>
      <c r="K1699" s="67"/>
      <c r="L1699" s="67"/>
    </row>
    <row r="1700" spans="8:15" x14ac:dyDescent="0.25">
      <c r="H1700" s="41" t="s">
        <v>742</v>
      </c>
    </row>
    <row r="1701" spans="8:15" ht="12" customHeight="1" x14ac:dyDescent="0.25">
      <c r="M1701" s="68"/>
    </row>
    <row r="1702" spans="8:15" x14ac:dyDescent="0.25">
      <c r="H1702" s="40" t="s">
        <v>86</v>
      </c>
      <c r="K1702" s="69"/>
      <c r="M1702" s="68"/>
    </row>
    <row r="1703" spans="8:15" ht="11.25" customHeight="1" thickBot="1" x14ac:dyDescent="0.3"/>
    <row r="1704" spans="8:15" ht="15.75" thickBot="1" x14ac:dyDescent="0.3">
      <c r="H1704" s="306" t="s">
        <v>87</v>
      </c>
      <c r="I1704" s="307"/>
      <c r="J1704" s="307"/>
      <c r="K1704" s="308"/>
      <c r="M1704" s="40" t="s">
        <v>89</v>
      </c>
    </row>
    <row r="1705" spans="8:15" ht="30.75" thickBot="1" x14ac:dyDescent="0.3">
      <c r="H1705" s="70" t="s">
        <v>62</v>
      </c>
      <c r="I1705" s="71" t="s">
        <v>90</v>
      </c>
      <c r="J1705" s="204" t="s">
        <v>91</v>
      </c>
      <c r="K1705" s="73" t="s">
        <v>92</v>
      </c>
    </row>
    <row r="1706" spans="8:15" x14ac:dyDescent="0.25">
      <c r="H1706" s="75">
        <v>719</v>
      </c>
      <c r="I1706" s="76">
        <f>+O1686+O1688+O1690+O1692+O1694</f>
        <v>610000</v>
      </c>
      <c r="J1706" s="77">
        <f>+K1669</f>
        <v>16070000</v>
      </c>
      <c r="K1706" s="79">
        <f>+I1706+J1706</f>
        <v>16680000</v>
      </c>
    </row>
    <row r="1707" spans="8:15" x14ac:dyDescent="0.25">
      <c r="H1707" s="80">
        <v>721</v>
      </c>
      <c r="I1707" s="81">
        <f>+O1687+O1689+O1691+O1693</f>
        <v>244000</v>
      </c>
      <c r="J1707" s="77">
        <f>+K1670</f>
        <v>80456481</v>
      </c>
      <c r="K1707" s="79">
        <f>+I1707+J1707</f>
        <v>80700481</v>
      </c>
    </row>
    <row r="1708" spans="8:15" x14ac:dyDescent="0.25">
      <c r="H1708" s="80">
        <v>722</v>
      </c>
      <c r="I1708" s="81"/>
      <c r="J1708" s="77">
        <f>+K1671</f>
        <v>0</v>
      </c>
      <c r="K1708" s="79">
        <f>+I1708+J1708</f>
        <v>0</v>
      </c>
    </row>
    <row r="1709" spans="8:15" ht="15.75" x14ac:dyDescent="0.25">
      <c r="H1709" s="80">
        <v>723</v>
      </c>
      <c r="I1709" s="81"/>
      <c r="J1709" s="77">
        <f>+K1672</f>
        <v>10730500</v>
      </c>
      <c r="K1709" s="79">
        <f>+I1709+J1709</f>
        <v>10730500</v>
      </c>
      <c r="M1709" s="109" t="s">
        <v>304</v>
      </c>
      <c r="N1709" s="84"/>
    </row>
    <row r="1710" spans="8:15" ht="16.5" thickBot="1" x14ac:dyDescent="0.3">
      <c r="H1710" s="85" t="s">
        <v>94</v>
      </c>
      <c r="I1710" s="86"/>
      <c r="J1710" s="77" t="e">
        <f>+K1673</f>
        <v>#REF!</v>
      </c>
      <c r="K1710" s="89" t="e">
        <f>+I1710+J1710</f>
        <v>#REF!</v>
      </c>
      <c r="M1710" s="45"/>
    </row>
    <row r="1711" spans="8:15" ht="16.5" thickBot="1" x14ac:dyDescent="0.3">
      <c r="H1711" s="90"/>
      <c r="I1711" s="94">
        <f>SUM(I1706:I1710)</f>
        <v>854000</v>
      </c>
      <c r="J1711" s="94" t="e">
        <f>SUM(J1706:J1710)</f>
        <v>#REF!</v>
      </c>
      <c r="K1711" s="95" t="e">
        <f>SUM(K1706:K1710)</f>
        <v>#REF!</v>
      </c>
    </row>
    <row r="1712" spans="8:15" ht="16.5" x14ac:dyDescent="0.25">
      <c r="H1712" s="39" t="s">
        <v>46</v>
      </c>
      <c r="I1712" s="40"/>
    </row>
    <row r="1713" spans="8:15" x14ac:dyDescent="0.25">
      <c r="H1713" s="41" t="s">
        <v>47</v>
      </c>
    </row>
    <row r="1714" spans="8:15" x14ac:dyDescent="0.25">
      <c r="H1714" s="41" t="s">
        <v>48</v>
      </c>
    </row>
    <row r="1715" spans="8:15" x14ac:dyDescent="0.25">
      <c r="H1715" s="41" t="s">
        <v>49</v>
      </c>
    </row>
    <row r="1716" spans="8:15" ht="12.75" customHeight="1" x14ac:dyDescent="0.25">
      <c r="H1716" s="40"/>
      <c r="I1716" s="40"/>
    </row>
    <row r="1717" spans="8:15" ht="15.75" x14ac:dyDescent="0.25">
      <c r="H1717" s="188" t="s">
        <v>743</v>
      </c>
      <c r="N1717" s="45"/>
    </row>
    <row r="1718" spans="8:15" ht="15.75" x14ac:dyDescent="0.25">
      <c r="H1718" s="47" t="s">
        <v>704</v>
      </c>
      <c r="N1718" s="47"/>
    </row>
    <row r="1719" spans="8:15" ht="16.5" x14ac:dyDescent="0.25">
      <c r="H1719" s="326" t="s">
        <v>744</v>
      </c>
      <c r="I1719" s="326"/>
      <c r="J1719" s="326"/>
      <c r="K1719" s="326"/>
      <c r="L1719" s="326"/>
      <c r="M1719" s="326"/>
      <c r="N1719" s="326"/>
      <c r="O1719" s="326"/>
    </row>
    <row r="1720" spans="8:15" ht="15.75" thickBot="1" x14ac:dyDescent="0.3"/>
    <row r="1721" spans="8:15" x14ac:dyDescent="0.25">
      <c r="H1721" s="341" t="s">
        <v>745</v>
      </c>
      <c r="I1721" s="337" t="s">
        <v>57</v>
      </c>
      <c r="J1721" s="337" t="s">
        <v>58</v>
      </c>
      <c r="K1721" s="337" t="s">
        <v>7</v>
      </c>
      <c r="L1721" s="337" t="s">
        <v>59</v>
      </c>
      <c r="M1721" s="337" t="s">
        <v>60</v>
      </c>
      <c r="N1721" s="339" t="s">
        <v>61</v>
      </c>
      <c r="O1721" s="340"/>
    </row>
    <row r="1722" spans="8:15" ht="15.75" thickBot="1" x14ac:dyDescent="0.3">
      <c r="H1722" s="342"/>
      <c r="I1722" s="338"/>
      <c r="J1722" s="338"/>
      <c r="K1722" s="338"/>
      <c r="L1722" s="338"/>
      <c r="M1722" s="338"/>
      <c r="N1722" s="51" t="s">
        <v>62</v>
      </c>
      <c r="O1722" s="52" t="s">
        <v>63</v>
      </c>
    </row>
    <row r="1723" spans="8:15" ht="12" customHeight="1" x14ac:dyDescent="0.25">
      <c r="H1723" s="310" t="s">
        <v>333</v>
      </c>
      <c r="I1723" s="312">
        <v>42520</v>
      </c>
      <c r="J1723" s="335" t="s">
        <v>105</v>
      </c>
      <c r="K1723" s="316" t="s">
        <v>746</v>
      </c>
      <c r="L1723" s="318" t="s">
        <v>5</v>
      </c>
      <c r="M1723" s="320"/>
      <c r="N1723" s="53">
        <v>719</v>
      </c>
      <c r="O1723" s="54"/>
    </row>
    <row r="1724" spans="8:15" ht="12.75" customHeight="1" thickBot="1" x14ac:dyDescent="0.3">
      <c r="H1724" s="311"/>
      <c r="I1724" s="313"/>
      <c r="J1724" s="336"/>
      <c r="K1724" s="317"/>
      <c r="L1724" s="319"/>
      <c r="M1724" s="321"/>
      <c r="N1724" s="55">
        <v>723</v>
      </c>
      <c r="O1724" s="56">
        <f>+M1723-O1723</f>
        <v>0</v>
      </c>
    </row>
    <row r="1725" spans="8:15" ht="12.75" customHeight="1" x14ac:dyDescent="0.25">
      <c r="H1725" s="310" t="s">
        <v>550</v>
      </c>
      <c r="I1725" s="312">
        <v>42520</v>
      </c>
      <c r="J1725" s="335" t="s">
        <v>105</v>
      </c>
      <c r="K1725" s="316" t="s">
        <v>746</v>
      </c>
      <c r="L1725" s="318" t="s">
        <v>66</v>
      </c>
      <c r="M1725" s="320"/>
      <c r="N1725" s="53">
        <v>719</v>
      </c>
      <c r="O1725" s="54"/>
    </row>
    <row r="1726" spans="8:15" ht="13.5" customHeight="1" thickBot="1" x14ac:dyDescent="0.3">
      <c r="H1726" s="311"/>
      <c r="I1726" s="313"/>
      <c r="J1726" s="336"/>
      <c r="K1726" s="317"/>
      <c r="L1726" s="319"/>
      <c r="M1726" s="321"/>
      <c r="N1726" s="55">
        <v>723</v>
      </c>
      <c r="O1726" s="56">
        <f>+M1725-O1725</f>
        <v>0</v>
      </c>
    </row>
    <row r="1727" spans="8:15" ht="11.25" customHeight="1" x14ac:dyDescent="0.25">
      <c r="H1727" s="310" t="s">
        <v>552</v>
      </c>
      <c r="I1727" s="312">
        <v>42520</v>
      </c>
      <c r="J1727" s="314" t="s">
        <v>747</v>
      </c>
      <c r="K1727" s="316" t="s">
        <v>746</v>
      </c>
      <c r="L1727" s="318" t="s">
        <v>5</v>
      </c>
      <c r="M1727" s="320"/>
      <c r="N1727" s="53">
        <v>719</v>
      </c>
      <c r="O1727" s="54"/>
    </row>
    <row r="1728" spans="8:15" ht="13.5" customHeight="1" thickBot="1" x14ac:dyDescent="0.3">
      <c r="H1728" s="311"/>
      <c r="I1728" s="313"/>
      <c r="J1728" s="315"/>
      <c r="K1728" s="317"/>
      <c r="L1728" s="319"/>
      <c r="M1728" s="321"/>
      <c r="N1728" s="55">
        <v>723</v>
      </c>
      <c r="O1728" s="56">
        <f>+M1727-O1727</f>
        <v>0</v>
      </c>
    </row>
    <row r="1729" spans="8:18" ht="12.75" customHeight="1" x14ac:dyDescent="0.25">
      <c r="H1729" s="310" t="s">
        <v>554</v>
      </c>
      <c r="I1729" s="312">
        <v>42520</v>
      </c>
      <c r="J1729" s="314" t="s">
        <v>748</v>
      </c>
      <c r="K1729" s="316" t="s">
        <v>746</v>
      </c>
      <c r="L1729" s="318" t="s">
        <v>5</v>
      </c>
      <c r="M1729" s="320"/>
      <c r="N1729" s="53">
        <v>719</v>
      </c>
      <c r="O1729" s="54"/>
    </row>
    <row r="1730" spans="8:18" ht="14.25" customHeight="1" thickBot="1" x14ac:dyDescent="0.3">
      <c r="H1730" s="311"/>
      <c r="I1730" s="313"/>
      <c r="J1730" s="315"/>
      <c r="K1730" s="317"/>
      <c r="L1730" s="319"/>
      <c r="M1730" s="321"/>
      <c r="N1730" s="55">
        <v>723</v>
      </c>
      <c r="O1730" s="56">
        <f>+M1729-O1729</f>
        <v>0</v>
      </c>
    </row>
    <row r="1731" spans="8:18" ht="12" customHeight="1" x14ac:dyDescent="0.25">
      <c r="H1731" s="310" t="s">
        <v>435</v>
      </c>
      <c r="I1731" s="312">
        <v>42520</v>
      </c>
      <c r="J1731" s="314" t="s">
        <v>749</v>
      </c>
      <c r="K1731" s="316" t="s">
        <v>746</v>
      </c>
      <c r="L1731" s="318" t="s">
        <v>5</v>
      </c>
      <c r="M1731" s="320"/>
      <c r="N1731" s="53">
        <v>719</v>
      </c>
      <c r="O1731" s="54"/>
    </row>
    <row r="1732" spans="8:18" ht="12.75" customHeight="1" thickBot="1" x14ac:dyDescent="0.3">
      <c r="H1732" s="311"/>
      <c r="I1732" s="313"/>
      <c r="J1732" s="315"/>
      <c r="K1732" s="317"/>
      <c r="L1732" s="319"/>
      <c r="M1732" s="321"/>
      <c r="N1732" s="55">
        <v>723</v>
      </c>
      <c r="O1732" s="56">
        <f>+M1731-O1731</f>
        <v>0</v>
      </c>
    </row>
    <row r="1733" spans="8:18" ht="12.75" customHeight="1" x14ac:dyDescent="0.25">
      <c r="H1733" s="310" t="s">
        <v>436</v>
      </c>
      <c r="I1733" s="312">
        <v>42520</v>
      </c>
      <c r="J1733" s="314" t="s">
        <v>750</v>
      </c>
      <c r="K1733" s="316" t="s">
        <v>746</v>
      </c>
      <c r="L1733" s="318" t="s">
        <v>5</v>
      </c>
      <c r="M1733" s="320"/>
      <c r="N1733" s="53">
        <v>719</v>
      </c>
      <c r="O1733" s="54"/>
    </row>
    <row r="1734" spans="8:18" ht="13.5" customHeight="1" thickBot="1" x14ac:dyDescent="0.3">
      <c r="H1734" s="311"/>
      <c r="I1734" s="313"/>
      <c r="J1734" s="315"/>
      <c r="K1734" s="317"/>
      <c r="L1734" s="319"/>
      <c r="M1734" s="321"/>
      <c r="N1734" s="55">
        <v>723</v>
      </c>
      <c r="O1734" s="56">
        <f>+M1733-O1733</f>
        <v>0</v>
      </c>
    </row>
    <row r="1735" spans="8:18" ht="16.5" thickBot="1" x14ac:dyDescent="0.3">
      <c r="H1735" s="303" t="s">
        <v>80</v>
      </c>
      <c r="I1735" s="304"/>
      <c r="J1735" s="304"/>
      <c r="K1735" s="304"/>
      <c r="L1735" s="305"/>
      <c r="M1735" s="62">
        <f>SUM(M1723:M1734)</f>
        <v>0</v>
      </c>
    </row>
    <row r="1736" spans="8:18" ht="16.5" thickBot="1" x14ac:dyDescent="0.3">
      <c r="H1736" s="300" t="s">
        <v>81</v>
      </c>
      <c r="I1736" s="301"/>
      <c r="J1736" s="301"/>
      <c r="K1736" s="301"/>
      <c r="L1736" s="302"/>
      <c r="M1736" s="63">
        <f>+M1698</f>
        <v>108180981</v>
      </c>
      <c r="N1736" s="64" t="s">
        <v>82</v>
      </c>
      <c r="O1736" s="65"/>
    </row>
    <row r="1737" spans="8:18" ht="16.5" thickBot="1" x14ac:dyDescent="0.3">
      <c r="H1737" s="303" t="s">
        <v>83</v>
      </c>
      <c r="I1737" s="304"/>
      <c r="J1737" s="304"/>
      <c r="K1737" s="304"/>
      <c r="L1737" s="305"/>
      <c r="M1737" s="66">
        <f>SUM(M1735:M1736)</f>
        <v>108180981</v>
      </c>
      <c r="R1737" s="41">
        <f>1945*1.05^4.5</f>
        <v>2422.5427600461721</v>
      </c>
    </row>
    <row r="1738" spans="8:18" ht="13.5" customHeight="1" x14ac:dyDescent="0.25">
      <c r="H1738" s="67"/>
      <c r="I1738" s="67"/>
      <c r="J1738" s="67"/>
      <c r="K1738" s="67"/>
      <c r="L1738" s="67"/>
    </row>
    <row r="1739" spans="8:18" x14ac:dyDescent="0.25">
      <c r="H1739" s="41" t="s">
        <v>751</v>
      </c>
    </row>
    <row r="1740" spans="8:18" ht="12.75" customHeight="1" x14ac:dyDescent="0.25">
      <c r="M1740" s="68"/>
    </row>
    <row r="1741" spans="8:18" x14ac:dyDescent="0.25">
      <c r="H1741" s="40" t="s">
        <v>86</v>
      </c>
      <c r="K1741" s="69"/>
      <c r="M1741" s="68"/>
    </row>
    <row r="1742" spans="8:18" ht="13.5" customHeight="1" thickBot="1" x14ac:dyDescent="0.3"/>
    <row r="1743" spans="8:18" ht="15.75" thickBot="1" x14ac:dyDescent="0.3">
      <c r="H1743" s="306" t="s">
        <v>87</v>
      </c>
      <c r="I1743" s="307"/>
      <c r="J1743" s="307"/>
      <c r="K1743" s="308"/>
      <c r="M1743" s="40" t="s">
        <v>89</v>
      </c>
    </row>
    <row r="1744" spans="8:18" ht="30.75" thickBot="1" x14ac:dyDescent="0.3">
      <c r="H1744" s="70" t="s">
        <v>62</v>
      </c>
      <c r="I1744" s="71" t="s">
        <v>90</v>
      </c>
      <c r="J1744" s="204" t="s">
        <v>91</v>
      </c>
      <c r="K1744" s="73" t="s">
        <v>92</v>
      </c>
    </row>
    <row r="1745" spans="8:15" x14ac:dyDescent="0.25">
      <c r="H1745" s="75">
        <v>719</v>
      </c>
      <c r="I1745" s="76">
        <f>+O1723+O1725+O1729+O1731+O1733</f>
        <v>0</v>
      </c>
      <c r="J1745" s="77">
        <f>+K1706</f>
        <v>16680000</v>
      </c>
      <c r="K1745" s="79">
        <f>+I1745+J1745</f>
        <v>16680000</v>
      </c>
    </row>
    <row r="1746" spans="8:15" x14ac:dyDescent="0.25">
      <c r="H1746" s="80">
        <v>721</v>
      </c>
      <c r="I1746" s="81">
        <v>0</v>
      </c>
      <c r="J1746" s="77">
        <f>+K1707</f>
        <v>80700481</v>
      </c>
      <c r="K1746" s="79">
        <f>+I1746+J1746</f>
        <v>80700481</v>
      </c>
    </row>
    <row r="1747" spans="8:15" x14ac:dyDescent="0.25">
      <c r="H1747" s="80">
        <v>722</v>
      </c>
      <c r="I1747" s="81"/>
      <c r="J1747" s="77">
        <f>+K1708</f>
        <v>0</v>
      </c>
      <c r="K1747" s="79">
        <f>+I1747+J1747</f>
        <v>0</v>
      </c>
    </row>
    <row r="1748" spans="8:15" ht="15.75" x14ac:dyDescent="0.25">
      <c r="H1748" s="80">
        <v>723</v>
      </c>
      <c r="I1748" s="81">
        <f>+O1734+O1732+O1730+O1726+O1724+O1728</f>
        <v>0</v>
      </c>
      <c r="J1748" s="77">
        <f>+K1709</f>
        <v>10730500</v>
      </c>
      <c r="K1748" s="79">
        <f>+I1748+J1748</f>
        <v>10730500</v>
      </c>
      <c r="M1748" s="109" t="s">
        <v>304</v>
      </c>
      <c r="N1748" s="84"/>
    </row>
    <row r="1749" spans="8:15" ht="16.5" thickBot="1" x14ac:dyDescent="0.3">
      <c r="H1749" s="85" t="s">
        <v>94</v>
      </c>
      <c r="I1749" s="86"/>
      <c r="J1749" s="77" t="e">
        <f>+K1710</f>
        <v>#REF!</v>
      </c>
      <c r="K1749" s="89" t="e">
        <f>+I1749+J1749</f>
        <v>#REF!</v>
      </c>
      <c r="M1749" s="45"/>
    </row>
    <row r="1750" spans="8:15" ht="16.5" thickBot="1" x14ac:dyDescent="0.3">
      <c r="H1750" s="90"/>
      <c r="I1750" s="94">
        <f>SUM(I1745:I1749)</f>
        <v>0</v>
      </c>
      <c r="J1750" s="94" t="e">
        <f>SUM(J1745:J1749)</f>
        <v>#REF!</v>
      </c>
      <c r="K1750" s="95" t="e">
        <f>SUM(K1745:K1749)</f>
        <v>#REF!</v>
      </c>
    </row>
    <row r="1751" spans="8:15" ht="16.5" x14ac:dyDescent="0.25">
      <c r="H1751" s="39" t="s">
        <v>46</v>
      </c>
      <c r="I1751" s="40"/>
    </row>
    <row r="1752" spans="8:15" x14ac:dyDescent="0.25">
      <c r="H1752" s="41" t="s">
        <v>47</v>
      </c>
    </row>
    <row r="1753" spans="8:15" x14ac:dyDescent="0.25">
      <c r="H1753" s="41" t="s">
        <v>48</v>
      </c>
    </row>
    <row r="1754" spans="8:15" x14ac:dyDescent="0.25">
      <c r="H1754" s="41" t="s">
        <v>49</v>
      </c>
    </row>
    <row r="1755" spans="8:15" ht="9" customHeight="1" x14ac:dyDescent="0.25">
      <c r="H1755" s="40"/>
      <c r="I1755" s="40"/>
    </row>
    <row r="1756" spans="8:15" ht="15.75" x14ac:dyDescent="0.25">
      <c r="H1756" s="188" t="s">
        <v>752</v>
      </c>
      <c r="N1756" s="45"/>
    </row>
    <row r="1757" spans="8:15" ht="15.75" x14ac:dyDescent="0.25">
      <c r="H1757" s="47" t="s">
        <v>704</v>
      </c>
      <c r="N1757" s="47"/>
    </row>
    <row r="1758" spans="8:15" ht="16.5" x14ac:dyDescent="0.25">
      <c r="H1758" s="326" t="s">
        <v>683</v>
      </c>
      <c r="I1758" s="326"/>
      <c r="J1758" s="326"/>
      <c r="K1758" s="326"/>
      <c r="L1758" s="326"/>
      <c r="M1758" s="326"/>
      <c r="N1758" s="326"/>
      <c r="O1758" s="326"/>
    </row>
    <row r="1759" spans="8:15" ht="15.75" thickBot="1" x14ac:dyDescent="0.3"/>
    <row r="1760" spans="8:15" x14ac:dyDescent="0.25">
      <c r="H1760" s="327" t="s">
        <v>56</v>
      </c>
      <c r="I1760" s="322" t="s">
        <v>57</v>
      </c>
      <c r="J1760" s="322" t="s">
        <v>58</v>
      </c>
      <c r="K1760" s="322" t="s">
        <v>7</v>
      </c>
      <c r="L1760" s="322" t="s">
        <v>59</v>
      </c>
      <c r="M1760" s="322" t="s">
        <v>60</v>
      </c>
      <c r="N1760" s="322" t="s">
        <v>61</v>
      </c>
      <c r="O1760" s="324"/>
    </row>
    <row r="1761" spans="8:15" ht="15.75" thickBot="1" x14ac:dyDescent="0.3">
      <c r="H1761" s="328"/>
      <c r="I1761" s="323"/>
      <c r="J1761" s="323"/>
      <c r="K1761" s="323"/>
      <c r="L1761" s="323"/>
      <c r="M1761" s="323"/>
      <c r="N1761" s="51" t="s">
        <v>62</v>
      </c>
      <c r="O1761" s="52" t="s">
        <v>63</v>
      </c>
    </row>
    <row r="1762" spans="8:15" x14ac:dyDescent="0.25">
      <c r="H1762" s="318">
        <v>207</v>
      </c>
      <c r="I1762" s="312">
        <v>42521</v>
      </c>
      <c r="J1762" s="314" t="s">
        <v>221</v>
      </c>
      <c r="K1762" s="316" t="s">
        <v>753</v>
      </c>
      <c r="L1762" s="318" t="s">
        <v>5</v>
      </c>
      <c r="M1762" s="320">
        <v>28000</v>
      </c>
      <c r="N1762" s="53">
        <v>719</v>
      </c>
      <c r="O1762" s="54">
        <v>20000</v>
      </c>
    </row>
    <row r="1763" spans="8:15" ht="15.75" thickBot="1" x14ac:dyDescent="0.3">
      <c r="H1763" s="319"/>
      <c r="I1763" s="313"/>
      <c r="J1763" s="315"/>
      <c r="K1763" s="317"/>
      <c r="L1763" s="319"/>
      <c r="M1763" s="321"/>
      <c r="N1763" s="55">
        <v>721</v>
      </c>
      <c r="O1763" s="56">
        <f>+M1762-O1762</f>
        <v>8000</v>
      </c>
    </row>
    <row r="1764" spans="8:15" x14ac:dyDescent="0.25">
      <c r="H1764" s="318">
        <v>208</v>
      </c>
      <c r="I1764" s="312">
        <v>42521</v>
      </c>
      <c r="J1764" s="314" t="s">
        <v>70</v>
      </c>
      <c r="K1764" s="316" t="s">
        <v>754</v>
      </c>
      <c r="L1764" s="318" t="s">
        <v>5</v>
      </c>
      <c r="M1764" s="320">
        <v>294000</v>
      </c>
      <c r="N1764" s="53">
        <v>719</v>
      </c>
      <c r="O1764" s="54">
        <v>210000</v>
      </c>
    </row>
    <row r="1765" spans="8:15" ht="15.75" thickBot="1" x14ac:dyDescent="0.3">
      <c r="H1765" s="319"/>
      <c r="I1765" s="313"/>
      <c r="J1765" s="315"/>
      <c r="K1765" s="317"/>
      <c r="L1765" s="319"/>
      <c r="M1765" s="321"/>
      <c r="N1765" s="55">
        <v>721</v>
      </c>
      <c r="O1765" s="56">
        <f>+M1764-O1764</f>
        <v>84000</v>
      </c>
    </row>
    <row r="1766" spans="8:15" x14ac:dyDescent="0.25">
      <c r="H1766" s="318">
        <v>209</v>
      </c>
      <c r="I1766" s="312">
        <v>42521</v>
      </c>
      <c r="J1766" s="314" t="s">
        <v>231</v>
      </c>
      <c r="K1766" s="316" t="s">
        <v>729</v>
      </c>
      <c r="L1766" s="318" t="s">
        <v>5</v>
      </c>
      <c r="M1766" s="320">
        <v>56000</v>
      </c>
      <c r="N1766" s="53">
        <v>719</v>
      </c>
      <c r="O1766" s="54">
        <v>40000</v>
      </c>
    </row>
    <row r="1767" spans="8:15" ht="15.75" thickBot="1" x14ac:dyDescent="0.3">
      <c r="H1767" s="319"/>
      <c r="I1767" s="313"/>
      <c r="J1767" s="315"/>
      <c r="K1767" s="317"/>
      <c r="L1767" s="319"/>
      <c r="M1767" s="321"/>
      <c r="N1767" s="55">
        <v>721</v>
      </c>
      <c r="O1767" s="56">
        <f>+M1766-O1766</f>
        <v>16000</v>
      </c>
    </row>
    <row r="1768" spans="8:15" x14ac:dyDescent="0.25">
      <c r="H1768" s="318">
        <v>210</v>
      </c>
      <c r="I1768" s="312">
        <v>42521</v>
      </c>
      <c r="J1768" s="314" t="s">
        <v>297</v>
      </c>
      <c r="K1768" s="316" t="s">
        <v>754</v>
      </c>
      <c r="L1768" s="318" t="s">
        <v>5</v>
      </c>
      <c r="M1768" s="320">
        <v>672000</v>
      </c>
      <c r="N1768" s="53">
        <v>719</v>
      </c>
      <c r="O1768" s="54">
        <v>480000</v>
      </c>
    </row>
    <row r="1769" spans="8:15" ht="15.75" thickBot="1" x14ac:dyDescent="0.3">
      <c r="H1769" s="319"/>
      <c r="I1769" s="313"/>
      <c r="J1769" s="315"/>
      <c r="K1769" s="317"/>
      <c r="L1769" s="319"/>
      <c r="M1769" s="321"/>
      <c r="N1769" s="55">
        <v>721</v>
      </c>
      <c r="O1769" s="56">
        <f>+M1768-O1768</f>
        <v>192000</v>
      </c>
    </row>
    <row r="1770" spans="8:15" ht="12.75" customHeight="1" x14ac:dyDescent="0.25">
      <c r="H1770" s="318"/>
      <c r="I1770" s="312"/>
      <c r="J1770" s="314"/>
      <c r="K1770" s="318"/>
      <c r="L1770" s="318"/>
      <c r="M1770" s="320"/>
      <c r="N1770" s="53">
        <v>719</v>
      </c>
      <c r="O1770" s="54"/>
    </row>
    <row r="1771" spans="8:15" ht="13.5" customHeight="1" thickBot="1" x14ac:dyDescent="0.3">
      <c r="H1771" s="319"/>
      <c r="I1771" s="313"/>
      <c r="J1771" s="315"/>
      <c r="K1771" s="319"/>
      <c r="L1771" s="319"/>
      <c r="M1771" s="321"/>
      <c r="N1771" s="55">
        <v>721</v>
      </c>
      <c r="O1771" s="56">
        <f>+M1770-O1770</f>
        <v>0</v>
      </c>
    </row>
    <row r="1772" spans="8:15" ht="16.5" thickBot="1" x14ac:dyDescent="0.3">
      <c r="H1772" s="297" t="s">
        <v>80</v>
      </c>
      <c r="I1772" s="298"/>
      <c r="J1772" s="298"/>
      <c r="K1772" s="298"/>
      <c r="L1772" s="299"/>
      <c r="M1772" s="62">
        <f>SUM(M1762:M1771)</f>
        <v>1050000</v>
      </c>
    </row>
    <row r="1773" spans="8:15" ht="16.5" thickBot="1" x14ac:dyDescent="0.3">
      <c r="H1773" s="300" t="s">
        <v>81</v>
      </c>
      <c r="I1773" s="301"/>
      <c r="J1773" s="301"/>
      <c r="K1773" s="301"/>
      <c r="L1773" s="302"/>
      <c r="M1773" s="63">
        <f>+M1737</f>
        <v>108180981</v>
      </c>
      <c r="N1773" s="64" t="s">
        <v>82</v>
      </c>
      <c r="O1773" s="65">
        <f>22+651+13+1233</f>
        <v>1919</v>
      </c>
    </row>
    <row r="1774" spans="8:15" ht="16.5" thickBot="1" x14ac:dyDescent="0.3">
      <c r="H1774" s="303" t="s">
        <v>83</v>
      </c>
      <c r="I1774" s="304"/>
      <c r="J1774" s="304"/>
      <c r="K1774" s="304"/>
      <c r="L1774" s="305"/>
      <c r="M1774" s="66">
        <f>SUM(M1772:M1773)</f>
        <v>109230981</v>
      </c>
    </row>
    <row r="1775" spans="8:15" x14ac:dyDescent="0.25">
      <c r="H1775" s="67"/>
      <c r="I1775" s="67"/>
      <c r="J1775" s="67"/>
      <c r="K1775" s="67"/>
      <c r="L1775" s="67"/>
    </row>
    <row r="1776" spans="8:15" x14ac:dyDescent="0.25">
      <c r="H1776" s="41" t="s">
        <v>755</v>
      </c>
    </row>
    <row r="1777" spans="8:14" ht="12" customHeight="1" x14ac:dyDescent="0.25">
      <c r="M1777" s="68"/>
    </row>
    <row r="1778" spans="8:14" x14ac:dyDescent="0.25">
      <c r="H1778" s="40" t="s">
        <v>86</v>
      </c>
      <c r="K1778" s="69"/>
      <c r="M1778" s="68"/>
    </row>
    <row r="1779" spans="8:14" ht="15.75" thickBot="1" x14ac:dyDescent="0.3"/>
    <row r="1780" spans="8:14" ht="15.75" thickBot="1" x14ac:dyDescent="0.3">
      <c r="H1780" s="306" t="s">
        <v>87</v>
      </c>
      <c r="I1780" s="307"/>
      <c r="J1780" s="307"/>
      <c r="K1780" s="308"/>
      <c r="M1780" s="40" t="s">
        <v>89</v>
      </c>
    </row>
    <row r="1781" spans="8:14" ht="30.75" thickBot="1" x14ac:dyDescent="0.3">
      <c r="H1781" s="70" t="s">
        <v>62</v>
      </c>
      <c r="I1781" s="71" t="s">
        <v>90</v>
      </c>
      <c r="J1781" s="204" t="s">
        <v>91</v>
      </c>
      <c r="K1781" s="73" t="s">
        <v>92</v>
      </c>
    </row>
    <row r="1782" spans="8:14" x14ac:dyDescent="0.25">
      <c r="H1782" s="75">
        <v>719</v>
      </c>
      <c r="I1782" s="76">
        <f>+O1762+O1764+O1766+O1768+O1770</f>
        <v>750000</v>
      </c>
      <c r="J1782" s="77">
        <f>+K1745</f>
        <v>16680000</v>
      </c>
      <c r="K1782" s="79">
        <f>+I1782+J1782</f>
        <v>17430000</v>
      </c>
    </row>
    <row r="1783" spans="8:14" x14ac:dyDescent="0.25">
      <c r="H1783" s="80">
        <v>721</v>
      </c>
      <c r="I1783" s="81">
        <f>+O1763+O1765+O1767+O1769</f>
        <v>300000</v>
      </c>
      <c r="J1783" s="77">
        <f>+K1746</f>
        <v>80700481</v>
      </c>
      <c r="K1783" s="79">
        <f>+I1783+J1783</f>
        <v>81000481</v>
      </c>
    </row>
    <row r="1784" spans="8:14" x14ac:dyDescent="0.25">
      <c r="H1784" s="80">
        <v>722</v>
      </c>
      <c r="I1784" s="81"/>
      <c r="J1784" s="77">
        <f>+K1747</f>
        <v>0</v>
      </c>
      <c r="K1784" s="79">
        <f>+I1784+J1784</f>
        <v>0</v>
      </c>
    </row>
    <row r="1785" spans="8:14" ht="15.75" x14ac:dyDescent="0.25">
      <c r="H1785" s="80">
        <v>723</v>
      </c>
      <c r="I1785" s="81"/>
      <c r="J1785" s="77">
        <f>+K1748</f>
        <v>10730500</v>
      </c>
      <c r="K1785" s="79">
        <f>+I1785+J1785</f>
        <v>10730500</v>
      </c>
      <c r="M1785" s="109" t="s">
        <v>304</v>
      </c>
      <c r="N1785" s="84"/>
    </row>
    <row r="1786" spans="8:14" ht="16.5" thickBot="1" x14ac:dyDescent="0.3">
      <c r="H1786" s="85" t="s">
        <v>94</v>
      </c>
      <c r="I1786" s="86"/>
      <c r="J1786" s="77" t="e">
        <f>+K1749</f>
        <v>#REF!</v>
      </c>
      <c r="K1786" s="89" t="e">
        <f>+I1786+J1786</f>
        <v>#REF!</v>
      </c>
      <c r="M1786" s="45"/>
    </row>
    <row r="1787" spans="8:14" ht="16.5" thickBot="1" x14ac:dyDescent="0.3">
      <c r="H1787" s="90"/>
      <c r="I1787" s="94">
        <f>SUM(I1782:I1786)</f>
        <v>1050000</v>
      </c>
      <c r="J1787" s="94" t="e">
        <f>SUM(J1782:J1786)</f>
        <v>#REF!</v>
      </c>
      <c r="K1787" s="95" t="e">
        <f>SUM(K1782:K1786)</f>
        <v>#REF!</v>
      </c>
    </row>
    <row r="1788" spans="8:14" ht="16.5" x14ac:dyDescent="0.25">
      <c r="H1788" s="39" t="s">
        <v>46</v>
      </c>
      <c r="I1788" s="40"/>
    </row>
    <row r="1789" spans="8:14" x14ac:dyDescent="0.25">
      <c r="H1789" s="41" t="s">
        <v>47</v>
      </c>
    </row>
    <row r="1790" spans="8:14" x14ac:dyDescent="0.25">
      <c r="H1790" s="41" t="s">
        <v>48</v>
      </c>
    </row>
    <row r="1791" spans="8:14" x14ac:dyDescent="0.25">
      <c r="H1791" s="41" t="s">
        <v>49</v>
      </c>
    </row>
    <row r="1792" spans="8:14" ht="12" customHeight="1" x14ac:dyDescent="0.25">
      <c r="H1792" s="40"/>
      <c r="I1792" s="40"/>
    </row>
    <row r="1793" spans="8:15" ht="15.75" x14ac:dyDescent="0.25">
      <c r="H1793" s="188" t="s">
        <v>756</v>
      </c>
      <c r="N1793" s="45"/>
    </row>
    <row r="1794" spans="8:15" ht="15.75" x14ac:dyDescent="0.25">
      <c r="H1794" s="47" t="s">
        <v>704</v>
      </c>
      <c r="N1794" s="47"/>
    </row>
    <row r="1795" spans="8:15" ht="16.5" x14ac:dyDescent="0.25">
      <c r="H1795" s="326" t="s">
        <v>757</v>
      </c>
      <c r="I1795" s="326"/>
      <c r="J1795" s="326"/>
      <c r="K1795" s="326"/>
      <c r="L1795" s="326"/>
      <c r="M1795" s="326"/>
      <c r="N1795" s="326"/>
      <c r="O1795" s="326"/>
    </row>
    <row r="1796" spans="8:15" ht="15.75" thickBot="1" x14ac:dyDescent="0.3"/>
    <row r="1797" spans="8:15" x14ac:dyDescent="0.25">
      <c r="H1797" s="327" t="s">
        <v>56</v>
      </c>
      <c r="I1797" s="322" t="s">
        <v>57</v>
      </c>
      <c r="J1797" s="322" t="s">
        <v>58</v>
      </c>
      <c r="K1797" s="322" t="s">
        <v>7</v>
      </c>
      <c r="L1797" s="322" t="s">
        <v>59</v>
      </c>
      <c r="M1797" s="322" t="s">
        <v>60</v>
      </c>
      <c r="N1797" s="322" t="s">
        <v>61</v>
      </c>
      <c r="O1797" s="324"/>
    </row>
    <row r="1798" spans="8:15" ht="15.75" thickBot="1" x14ac:dyDescent="0.3">
      <c r="H1798" s="328"/>
      <c r="I1798" s="323"/>
      <c r="J1798" s="323"/>
      <c r="K1798" s="323"/>
      <c r="L1798" s="323"/>
      <c r="M1798" s="323"/>
      <c r="N1798" s="51" t="s">
        <v>62</v>
      </c>
      <c r="O1798" s="52" t="s">
        <v>63</v>
      </c>
    </row>
    <row r="1799" spans="8:15" x14ac:dyDescent="0.25">
      <c r="H1799" s="318">
        <v>211</v>
      </c>
      <c r="I1799" s="312">
        <v>42521</v>
      </c>
      <c r="J1799" s="335" t="s">
        <v>758</v>
      </c>
      <c r="K1799" s="316" t="s">
        <v>746</v>
      </c>
      <c r="L1799" s="318" t="s">
        <v>186</v>
      </c>
      <c r="M1799" s="320">
        <v>2941578</v>
      </c>
      <c r="N1799" s="53">
        <v>719</v>
      </c>
      <c r="O1799" s="54">
        <v>0</v>
      </c>
    </row>
    <row r="1800" spans="8:15" ht="15.75" thickBot="1" x14ac:dyDescent="0.3">
      <c r="H1800" s="319"/>
      <c r="I1800" s="313"/>
      <c r="J1800" s="336"/>
      <c r="K1800" s="317"/>
      <c r="L1800" s="319"/>
      <c r="M1800" s="321"/>
      <c r="N1800" s="55">
        <v>721</v>
      </c>
      <c r="O1800" s="56">
        <f>+M1799-O1799</f>
        <v>2941578</v>
      </c>
    </row>
    <row r="1801" spans="8:15" x14ac:dyDescent="0.25">
      <c r="H1801" s="318"/>
      <c r="I1801" s="312"/>
      <c r="J1801" s="335"/>
      <c r="K1801" s="316"/>
      <c r="L1801" s="318"/>
      <c r="M1801" s="320"/>
      <c r="N1801" s="53">
        <v>719</v>
      </c>
      <c r="O1801" s="54">
        <v>0</v>
      </c>
    </row>
    <row r="1802" spans="8:15" ht="15.75" thickBot="1" x14ac:dyDescent="0.3">
      <c r="H1802" s="319"/>
      <c r="I1802" s="313"/>
      <c r="J1802" s="336"/>
      <c r="K1802" s="317"/>
      <c r="L1802" s="319"/>
      <c r="M1802" s="321"/>
      <c r="N1802" s="55">
        <v>723</v>
      </c>
      <c r="O1802" s="56">
        <f>+M1801-O1801</f>
        <v>0</v>
      </c>
    </row>
    <row r="1803" spans="8:15" x14ac:dyDescent="0.25">
      <c r="H1803" s="318"/>
      <c r="I1803" s="312"/>
      <c r="J1803" s="314"/>
      <c r="K1803" s="316"/>
      <c r="L1803" s="318"/>
      <c r="M1803" s="320"/>
      <c r="N1803" s="53">
        <v>719</v>
      </c>
      <c r="O1803" s="54"/>
    </row>
    <row r="1804" spans="8:15" ht="15.75" thickBot="1" x14ac:dyDescent="0.3">
      <c r="H1804" s="319"/>
      <c r="I1804" s="313"/>
      <c r="J1804" s="315"/>
      <c r="K1804" s="317"/>
      <c r="L1804" s="319"/>
      <c r="M1804" s="321"/>
      <c r="N1804" s="55">
        <v>721</v>
      </c>
      <c r="O1804" s="56">
        <f>+M1803-O1803</f>
        <v>0</v>
      </c>
    </row>
    <row r="1805" spans="8:15" ht="12.75" customHeight="1" x14ac:dyDescent="0.25">
      <c r="H1805" s="318"/>
      <c r="I1805" s="312"/>
      <c r="J1805" s="314"/>
      <c r="K1805" s="316"/>
      <c r="L1805" s="318"/>
      <c r="M1805" s="320"/>
      <c r="N1805" s="53">
        <v>719</v>
      </c>
      <c r="O1805" s="54"/>
    </row>
    <row r="1806" spans="8:15" ht="15.75" thickBot="1" x14ac:dyDescent="0.3">
      <c r="H1806" s="319"/>
      <c r="I1806" s="313"/>
      <c r="J1806" s="315"/>
      <c r="K1806" s="317"/>
      <c r="L1806" s="319"/>
      <c r="M1806" s="321"/>
      <c r="N1806" s="55">
        <v>721</v>
      </c>
      <c r="O1806" s="56">
        <f>+M1805-O1805</f>
        <v>0</v>
      </c>
    </row>
    <row r="1807" spans="8:15" x14ac:dyDescent="0.25">
      <c r="H1807" s="318"/>
      <c r="I1807" s="312"/>
      <c r="J1807" s="314"/>
      <c r="K1807" s="318"/>
      <c r="L1807" s="318"/>
      <c r="M1807" s="320"/>
      <c r="N1807" s="53">
        <v>719</v>
      </c>
      <c r="O1807" s="54"/>
    </row>
    <row r="1808" spans="8:15" ht="14.25" customHeight="1" thickBot="1" x14ac:dyDescent="0.3">
      <c r="H1808" s="319"/>
      <c r="I1808" s="313"/>
      <c r="J1808" s="315"/>
      <c r="K1808" s="319"/>
      <c r="L1808" s="319"/>
      <c r="M1808" s="321"/>
      <c r="N1808" s="55">
        <v>721</v>
      </c>
      <c r="O1808" s="56">
        <f>+M1807-O1807</f>
        <v>0</v>
      </c>
    </row>
    <row r="1809" spans="8:15" ht="16.5" thickBot="1" x14ac:dyDescent="0.3">
      <c r="H1809" s="297" t="s">
        <v>80</v>
      </c>
      <c r="I1809" s="298"/>
      <c r="J1809" s="298"/>
      <c r="K1809" s="298"/>
      <c r="L1809" s="299"/>
      <c r="M1809" s="62">
        <f>SUM(M1799:M1808)</f>
        <v>2941578</v>
      </c>
    </row>
    <row r="1810" spans="8:15" ht="16.5" thickBot="1" x14ac:dyDescent="0.3">
      <c r="H1810" s="300" t="s">
        <v>81</v>
      </c>
      <c r="I1810" s="301"/>
      <c r="J1810" s="301"/>
      <c r="K1810" s="301"/>
      <c r="L1810" s="302"/>
      <c r="M1810" s="63">
        <f>+M1774</f>
        <v>109230981</v>
      </c>
      <c r="N1810" s="64" t="s">
        <v>82</v>
      </c>
      <c r="O1810" s="65"/>
    </row>
    <row r="1811" spans="8:15" ht="16.5" thickBot="1" x14ac:dyDescent="0.3">
      <c r="H1811" s="303" t="s">
        <v>83</v>
      </c>
      <c r="I1811" s="304"/>
      <c r="J1811" s="304"/>
      <c r="K1811" s="304"/>
      <c r="L1811" s="305"/>
      <c r="M1811" s="66">
        <f>SUM(M1809:M1810)</f>
        <v>112172559</v>
      </c>
    </row>
    <row r="1812" spans="8:15" x14ac:dyDescent="0.25">
      <c r="H1812" s="67"/>
      <c r="I1812" s="67"/>
      <c r="J1812" s="67"/>
      <c r="K1812" s="67"/>
      <c r="L1812" s="67"/>
    </row>
    <row r="1813" spans="8:15" x14ac:dyDescent="0.25">
      <c r="H1813" s="41" t="s">
        <v>759</v>
      </c>
    </row>
    <row r="1814" spans="8:15" x14ac:dyDescent="0.25">
      <c r="M1814" s="68"/>
    </row>
    <row r="1815" spans="8:15" x14ac:dyDescent="0.25">
      <c r="H1815" s="40" t="s">
        <v>86</v>
      </c>
      <c r="K1815" s="69"/>
      <c r="M1815" s="68"/>
    </row>
    <row r="1816" spans="8:15" ht="12" customHeight="1" thickBot="1" x14ac:dyDescent="0.3"/>
    <row r="1817" spans="8:15" ht="15.75" thickBot="1" x14ac:dyDescent="0.3">
      <c r="H1817" s="306" t="s">
        <v>87</v>
      </c>
      <c r="I1817" s="307"/>
      <c r="J1817" s="307"/>
      <c r="K1817" s="308"/>
      <c r="M1817" s="40" t="s">
        <v>89</v>
      </c>
    </row>
    <row r="1818" spans="8:15" ht="30.75" thickBot="1" x14ac:dyDescent="0.3">
      <c r="H1818" s="70" t="s">
        <v>62</v>
      </c>
      <c r="I1818" s="71" t="s">
        <v>90</v>
      </c>
      <c r="J1818" s="204" t="s">
        <v>91</v>
      </c>
      <c r="K1818" s="73" t="s">
        <v>92</v>
      </c>
    </row>
    <row r="1819" spans="8:15" x14ac:dyDescent="0.25">
      <c r="H1819" s="75">
        <v>719</v>
      </c>
      <c r="I1819" s="76">
        <f>+O1799+O1801+O1803+O1805+O1807</f>
        <v>0</v>
      </c>
      <c r="J1819" s="77">
        <f>+K1782</f>
        <v>17430000</v>
      </c>
      <c r="K1819" s="79">
        <f>+I1819+J1819</f>
        <v>17430000</v>
      </c>
    </row>
    <row r="1820" spans="8:15" x14ac:dyDescent="0.25">
      <c r="H1820" s="80">
        <v>721</v>
      </c>
      <c r="I1820" s="81">
        <f>+O1800</f>
        <v>2941578</v>
      </c>
      <c r="J1820" s="77">
        <f>+K1783</f>
        <v>81000481</v>
      </c>
      <c r="K1820" s="79">
        <f>+I1820+J1820</f>
        <v>83942059</v>
      </c>
    </row>
    <row r="1821" spans="8:15" x14ac:dyDescent="0.25">
      <c r="H1821" s="80">
        <v>722</v>
      </c>
      <c r="I1821" s="81"/>
      <c r="J1821" s="77">
        <f>+K1784</f>
        <v>0</v>
      </c>
      <c r="K1821" s="79">
        <f>+I1821+J1821</f>
        <v>0</v>
      </c>
    </row>
    <row r="1822" spans="8:15" ht="15.75" x14ac:dyDescent="0.25">
      <c r="H1822" s="80">
        <v>723</v>
      </c>
      <c r="I1822" s="81"/>
      <c r="J1822" s="77">
        <f>+K1785</f>
        <v>10730500</v>
      </c>
      <c r="K1822" s="79">
        <f>+I1822+J1822</f>
        <v>10730500</v>
      </c>
      <c r="M1822" s="109" t="s">
        <v>304</v>
      </c>
      <c r="N1822" s="84"/>
    </row>
    <row r="1823" spans="8:15" ht="16.5" thickBot="1" x14ac:dyDescent="0.3">
      <c r="H1823" s="85" t="s">
        <v>94</v>
      </c>
      <c r="I1823" s="86"/>
      <c r="J1823" s="77" t="e">
        <f>+K1786</f>
        <v>#REF!</v>
      </c>
      <c r="K1823" s="89" t="e">
        <f>+I1823+J1823</f>
        <v>#REF!</v>
      </c>
      <c r="M1823" s="45"/>
    </row>
    <row r="1824" spans="8:15" ht="16.5" thickBot="1" x14ac:dyDescent="0.3">
      <c r="H1824" s="90"/>
      <c r="I1824" s="94">
        <f>SUM(I1819:I1823)</f>
        <v>2941578</v>
      </c>
      <c r="J1824" s="94" t="e">
        <f>SUM(J1819:J1823)</f>
        <v>#REF!</v>
      </c>
      <c r="K1824" s="95" t="e">
        <f>SUM(K1819:K1823)</f>
        <v>#REF!</v>
      </c>
    </row>
    <row r="1825" spans="8:15" ht="16.5" x14ac:dyDescent="0.25">
      <c r="H1825" s="39" t="s">
        <v>46</v>
      </c>
      <c r="I1825" s="40"/>
    </row>
    <row r="1826" spans="8:15" x14ac:dyDescent="0.25">
      <c r="H1826" s="41" t="s">
        <v>47</v>
      </c>
    </row>
    <row r="1827" spans="8:15" x14ac:dyDescent="0.25">
      <c r="H1827" s="41" t="s">
        <v>48</v>
      </c>
    </row>
    <row r="1828" spans="8:15" x14ac:dyDescent="0.25">
      <c r="H1828" s="41" t="s">
        <v>49</v>
      </c>
    </row>
    <row r="1829" spans="8:15" ht="12" customHeight="1" x14ac:dyDescent="0.25">
      <c r="H1829" s="40"/>
      <c r="I1829" s="40"/>
    </row>
    <row r="1830" spans="8:15" ht="15.75" x14ac:dyDescent="0.25">
      <c r="H1830" s="188" t="s">
        <v>760</v>
      </c>
      <c r="N1830" s="45"/>
    </row>
    <row r="1831" spans="8:15" ht="15.75" x14ac:dyDescent="0.25">
      <c r="H1831" s="47" t="s">
        <v>704</v>
      </c>
      <c r="N1831" s="47"/>
    </row>
    <row r="1832" spans="8:15" ht="16.5" x14ac:dyDescent="0.25">
      <c r="H1832" s="326" t="s">
        <v>744</v>
      </c>
      <c r="I1832" s="326"/>
      <c r="J1832" s="326"/>
      <c r="K1832" s="326"/>
      <c r="L1832" s="326"/>
      <c r="M1832" s="326"/>
      <c r="N1832" s="326"/>
      <c r="O1832" s="326"/>
    </row>
    <row r="1833" spans="8:15" ht="15.75" thickBot="1" x14ac:dyDescent="0.3"/>
    <row r="1834" spans="8:15" x14ac:dyDescent="0.25">
      <c r="H1834" s="327" t="s">
        <v>745</v>
      </c>
      <c r="I1834" s="322" t="s">
        <v>57</v>
      </c>
      <c r="J1834" s="322" t="s">
        <v>58</v>
      </c>
      <c r="K1834" s="322" t="s">
        <v>7</v>
      </c>
      <c r="L1834" s="322" t="s">
        <v>59</v>
      </c>
      <c r="M1834" s="322" t="s">
        <v>60</v>
      </c>
      <c r="N1834" s="322" t="s">
        <v>61</v>
      </c>
      <c r="O1834" s="324"/>
    </row>
    <row r="1835" spans="8:15" ht="15.75" thickBot="1" x14ac:dyDescent="0.3">
      <c r="H1835" s="328"/>
      <c r="I1835" s="323"/>
      <c r="J1835" s="323"/>
      <c r="K1835" s="323"/>
      <c r="L1835" s="323"/>
      <c r="M1835" s="323"/>
      <c r="N1835" s="51" t="s">
        <v>62</v>
      </c>
      <c r="O1835" s="52" t="s">
        <v>63</v>
      </c>
    </row>
    <row r="1836" spans="8:15" x14ac:dyDescent="0.25">
      <c r="H1836" s="310" t="s">
        <v>333</v>
      </c>
      <c r="I1836" s="312">
        <v>42520</v>
      </c>
      <c r="J1836" s="335" t="s">
        <v>105</v>
      </c>
      <c r="K1836" s="316" t="s">
        <v>746</v>
      </c>
      <c r="L1836" s="318" t="s">
        <v>5</v>
      </c>
      <c r="M1836" s="320">
        <v>-241240</v>
      </c>
      <c r="N1836" s="53">
        <v>719</v>
      </c>
      <c r="O1836" s="54"/>
    </row>
    <row r="1837" spans="8:15" ht="15.75" thickBot="1" x14ac:dyDescent="0.3">
      <c r="H1837" s="311"/>
      <c r="I1837" s="313"/>
      <c r="J1837" s="336"/>
      <c r="K1837" s="317"/>
      <c r="L1837" s="319"/>
      <c r="M1837" s="321"/>
      <c r="N1837" s="55">
        <v>723</v>
      </c>
      <c r="O1837" s="56">
        <f>+M1836-O1836</f>
        <v>-241240</v>
      </c>
    </row>
    <row r="1838" spans="8:15" x14ac:dyDescent="0.25">
      <c r="H1838" s="310" t="s">
        <v>550</v>
      </c>
      <c r="I1838" s="312">
        <v>42520</v>
      </c>
      <c r="J1838" s="335" t="s">
        <v>105</v>
      </c>
      <c r="K1838" s="316" t="s">
        <v>746</v>
      </c>
      <c r="L1838" s="318" t="s">
        <v>66</v>
      </c>
      <c r="M1838" s="320">
        <v>-525000</v>
      </c>
      <c r="N1838" s="53">
        <v>719</v>
      </c>
      <c r="O1838" s="54"/>
    </row>
    <row r="1839" spans="8:15" ht="15.75" thickBot="1" x14ac:dyDescent="0.3">
      <c r="H1839" s="311"/>
      <c r="I1839" s="313"/>
      <c r="J1839" s="336"/>
      <c r="K1839" s="317"/>
      <c r="L1839" s="319"/>
      <c r="M1839" s="321"/>
      <c r="N1839" s="55">
        <v>723</v>
      </c>
      <c r="O1839" s="56">
        <f>+M1838-O1838</f>
        <v>-525000</v>
      </c>
    </row>
    <row r="1840" spans="8:15" ht="12.75" customHeight="1" x14ac:dyDescent="0.25">
      <c r="H1840" s="310"/>
      <c r="I1840" s="312"/>
      <c r="J1840" s="314"/>
      <c r="K1840" s="316"/>
      <c r="L1840" s="318"/>
      <c r="M1840" s="320"/>
      <c r="N1840" s="53">
        <v>719</v>
      </c>
      <c r="O1840" s="54"/>
    </row>
    <row r="1841" spans="8:15" ht="14.25" customHeight="1" thickBot="1" x14ac:dyDescent="0.3">
      <c r="H1841" s="311"/>
      <c r="I1841" s="313"/>
      <c r="J1841" s="315"/>
      <c r="K1841" s="317"/>
      <c r="L1841" s="319"/>
      <c r="M1841" s="321"/>
      <c r="N1841" s="55">
        <v>723</v>
      </c>
      <c r="O1841" s="56">
        <f>+M1840-O1840</f>
        <v>0</v>
      </c>
    </row>
    <row r="1842" spans="8:15" x14ac:dyDescent="0.25">
      <c r="H1842" s="310"/>
      <c r="I1842" s="312"/>
      <c r="J1842" s="314"/>
      <c r="K1842" s="316"/>
      <c r="L1842" s="318"/>
      <c r="M1842" s="320"/>
      <c r="N1842" s="53">
        <v>719</v>
      </c>
      <c r="O1842" s="54"/>
    </row>
    <row r="1843" spans="8:15" ht="15.75" thickBot="1" x14ac:dyDescent="0.3">
      <c r="H1843" s="311"/>
      <c r="I1843" s="313"/>
      <c r="J1843" s="315"/>
      <c r="K1843" s="317"/>
      <c r="L1843" s="319"/>
      <c r="M1843" s="321"/>
      <c r="N1843" s="55">
        <v>723</v>
      </c>
      <c r="O1843" s="56">
        <f>+M1842-O1842</f>
        <v>0</v>
      </c>
    </row>
    <row r="1844" spans="8:15" ht="12.75" customHeight="1" x14ac:dyDescent="0.25">
      <c r="H1844" s="310"/>
      <c r="I1844" s="312"/>
      <c r="J1844" s="314"/>
      <c r="K1844" s="316"/>
      <c r="L1844" s="318"/>
      <c r="M1844" s="320"/>
      <c r="N1844" s="53">
        <v>719</v>
      </c>
      <c r="O1844" s="54"/>
    </row>
    <row r="1845" spans="8:15" ht="15.75" thickBot="1" x14ac:dyDescent="0.3">
      <c r="H1845" s="311"/>
      <c r="I1845" s="313"/>
      <c r="J1845" s="315"/>
      <c r="K1845" s="317"/>
      <c r="L1845" s="319"/>
      <c r="M1845" s="321"/>
      <c r="N1845" s="55">
        <v>723</v>
      </c>
      <c r="O1845" s="56">
        <f>+M1844-O1844</f>
        <v>0</v>
      </c>
    </row>
    <row r="1846" spans="8:15" ht="16.5" thickBot="1" x14ac:dyDescent="0.3">
      <c r="H1846" s="297" t="s">
        <v>80</v>
      </c>
      <c r="I1846" s="298"/>
      <c r="J1846" s="298"/>
      <c r="K1846" s="298"/>
      <c r="L1846" s="299"/>
      <c r="M1846" s="62">
        <f>SUM(M1836:M1845)</f>
        <v>-766240</v>
      </c>
    </row>
    <row r="1847" spans="8:15" ht="16.5" thickBot="1" x14ac:dyDescent="0.3">
      <c r="H1847" s="300" t="s">
        <v>81</v>
      </c>
      <c r="I1847" s="301"/>
      <c r="J1847" s="301"/>
      <c r="K1847" s="301"/>
      <c r="L1847" s="302"/>
      <c r="M1847" s="63">
        <f>+M1811</f>
        <v>112172559</v>
      </c>
      <c r="N1847" s="64" t="s">
        <v>82</v>
      </c>
      <c r="O1847" s="65"/>
    </row>
    <row r="1848" spans="8:15" ht="16.5" thickBot="1" x14ac:dyDescent="0.3">
      <c r="H1848" s="303" t="s">
        <v>83</v>
      </c>
      <c r="I1848" s="304"/>
      <c r="J1848" s="304"/>
      <c r="K1848" s="304"/>
      <c r="L1848" s="305"/>
      <c r="M1848" s="66">
        <f>SUM(M1846:M1847)</f>
        <v>111406319</v>
      </c>
    </row>
    <row r="1849" spans="8:15" x14ac:dyDescent="0.25">
      <c r="H1849" s="67"/>
      <c r="I1849" s="67"/>
      <c r="J1849" s="67"/>
      <c r="K1849" s="67"/>
      <c r="L1849" s="67"/>
    </row>
    <row r="1850" spans="8:15" x14ac:dyDescent="0.25">
      <c r="H1850" s="41" t="s">
        <v>761</v>
      </c>
    </row>
    <row r="1851" spans="8:15" ht="12" customHeight="1" x14ac:dyDescent="0.25">
      <c r="M1851" s="68"/>
    </row>
    <row r="1852" spans="8:15" x14ac:dyDescent="0.25">
      <c r="H1852" s="40" t="s">
        <v>86</v>
      </c>
      <c r="K1852" s="69"/>
      <c r="M1852" s="68"/>
    </row>
    <row r="1853" spans="8:15" ht="12" customHeight="1" thickBot="1" x14ac:dyDescent="0.3"/>
    <row r="1854" spans="8:15" ht="15.75" thickBot="1" x14ac:dyDescent="0.3">
      <c r="H1854" s="306" t="s">
        <v>87</v>
      </c>
      <c r="I1854" s="307"/>
      <c r="J1854" s="307"/>
      <c r="K1854" s="308"/>
      <c r="M1854" s="40" t="s">
        <v>89</v>
      </c>
    </row>
    <row r="1855" spans="8:15" ht="30.75" thickBot="1" x14ac:dyDescent="0.3">
      <c r="H1855" s="70" t="s">
        <v>62</v>
      </c>
      <c r="I1855" s="71" t="s">
        <v>90</v>
      </c>
      <c r="J1855" s="204" t="s">
        <v>91</v>
      </c>
      <c r="K1855" s="73" t="s">
        <v>92</v>
      </c>
    </row>
    <row r="1856" spans="8:15" x14ac:dyDescent="0.25">
      <c r="H1856" s="75">
        <v>719</v>
      </c>
      <c r="I1856" s="76">
        <f>+O1836+O1838+O1840+O1842+O1844</f>
        <v>0</v>
      </c>
      <c r="J1856" s="77">
        <f>+K1819</f>
        <v>17430000</v>
      </c>
      <c r="K1856" s="79">
        <f>+I1856+J1856</f>
        <v>17430000</v>
      </c>
    </row>
    <row r="1857" spans="8:15" x14ac:dyDescent="0.25">
      <c r="H1857" s="80">
        <v>721</v>
      </c>
      <c r="I1857" s="81">
        <v>0</v>
      </c>
      <c r="J1857" s="77">
        <f>+K1820</f>
        <v>83942059</v>
      </c>
      <c r="K1857" s="79">
        <f>+I1857+J1857</f>
        <v>83942059</v>
      </c>
    </row>
    <row r="1858" spans="8:15" x14ac:dyDescent="0.25">
      <c r="H1858" s="80">
        <v>722</v>
      </c>
      <c r="I1858" s="81"/>
      <c r="J1858" s="77">
        <f>+K1821</f>
        <v>0</v>
      </c>
      <c r="K1858" s="79">
        <f>+I1858+J1858</f>
        <v>0</v>
      </c>
    </row>
    <row r="1859" spans="8:15" ht="15.75" x14ac:dyDescent="0.25">
      <c r="H1859" s="80">
        <v>723</v>
      </c>
      <c r="I1859" s="81">
        <f>+O1845+O1843+O1841+O1839+O1837</f>
        <v>-766240</v>
      </c>
      <c r="J1859" s="77">
        <f>+K1822</f>
        <v>10730500</v>
      </c>
      <c r="K1859" s="79">
        <f>+I1859+J1859</f>
        <v>9964260</v>
      </c>
      <c r="M1859" s="109" t="s">
        <v>304</v>
      </c>
      <c r="N1859" s="84"/>
    </row>
    <row r="1860" spans="8:15" ht="16.5" thickBot="1" x14ac:dyDescent="0.3">
      <c r="H1860" s="85" t="s">
        <v>94</v>
      </c>
      <c r="I1860" s="86"/>
      <c r="J1860" s="77" t="e">
        <f>+K1823</f>
        <v>#REF!</v>
      </c>
      <c r="K1860" s="89" t="e">
        <f>+I1860+J1860</f>
        <v>#REF!</v>
      </c>
      <c r="M1860" s="45"/>
    </row>
    <row r="1861" spans="8:15" ht="16.5" thickBot="1" x14ac:dyDescent="0.3">
      <c r="H1861" s="90"/>
      <c r="I1861" s="94">
        <f>SUM(I1856:I1860)</f>
        <v>-766240</v>
      </c>
      <c r="J1861" s="94" t="e">
        <f>SUM(J1856:J1860)</f>
        <v>#REF!</v>
      </c>
      <c r="K1861" s="95" t="e">
        <f>SUM(K1856:K1860)</f>
        <v>#REF!</v>
      </c>
    </row>
    <row r="1862" spans="8:15" ht="16.5" x14ac:dyDescent="0.25">
      <c r="H1862" s="39" t="s">
        <v>46</v>
      </c>
      <c r="I1862" s="40"/>
    </row>
    <row r="1863" spans="8:15" x14ac:dyDescent="0.25">
      <c r="H1863" s="41" t="s">
        <v>47</v>
      </c>
    </row>
    <row r="1864" spans="8:15" x14ac:dyDescent="0.25">
      <c r="H1864" s="41" t="s">
        <v>48</v>
      </c>
    </row>
    <row r="1865" spans="8:15" x14ac:dyDescent="0.25">
      <c r="H1865" s="41" t="s">
        <v>49</v>
      </c>
    </row>
    <row r="1866" spans="8:15" x14ac:dyDescent="0.25">
      <c r="H1866" s="40"/>
      <c r="I1866" s="40"/>
    </row>
    <row r="1867" spans="8:15" ht="15.75" x14ac:dyDescent="0.25">
      <c r="H1867" s="188" t="s">
        <v>762</v>
      </c>
      <c r="N1867" s="45"/>
    </row>
    <row r="1868" spans="8:15" ht="15.75" x14ac:dyDescent="0.25">
      <c r="H1868" s="47" t="s">
        <v>704</v>
      </c>
      <c r="N1868" s="47"/>
    </row>
    <row r="1869" spans="8:15" ht="16.5" x14ac:dyDescent="0.25">
      <c r="H1869" s="326" t="s">
        <v>744</v>
      </c>
      <c r="I1869" s="326"/>
      <c r="J1869" s="326"/>
      <c r="K1869" s="326"/>
      <c r="L1869" s="326"/>
      <c r="M1869" s="326"/>
      <c r="N1869" s="326"/>
      <c r="O1869" s="326"/>
    </row>
    <row r="1870" spans="8:15" ht="15.75" thickBot="1" x14ac:dyDescent="0.3"/>
    <row r="1871" spans="8:15" x14ac:dyDescent="0.25">
      <c r="H1871" s="327" t="s">
        <v>745</v>
      </c>
      <c r="I1871" s="322" t="s">
        <v>57</v>
      </c>
      <c r="J1871" s="322" t="s">
        <v>58</v>
      </c>
      <c r="K1871" s="322" t="s">
        <v>7</v>
      </c>
      <c r="L1871" s="322" t="s">
        <v>59</v>
      </c>
      <c r="M1871" s="322" t="s">
        <v>60</v>
      </c>
      <c r="N1871" s="322" t="s">
        <v>61</v>
      </c>
      <c r="O1871" s="324"/>
    </row>
    <row r="1872" spans="8:15" ht="15.75" thickBot="1" x14ac:dyDescent="0.3">
      <c r="H1872" s="328"/>
      <c r="I1872" s="323"/>
      <c r="J1872" s="323"/>
      <c r="K1872" s="323"/>
      <c r="L1872" s="323"/>
      <c r="M1872" s="323"/>
      <c r="N1872" s="51" t="s">
        <v>62</v>
      </c>
      <c r="O1872" s="52" t="s">
        <v>63</v>
      </c>
    </row>
    <row r="1873" spans="8:15" ht="13.5" customHeight="1" x14ac:dyDescent="0.25">
      <c r="H1873" s="310" t="s">
        <v>552</v>
      </c>
      <c r="I1873" s="312">
        <v>42520</v>
      </c>
      <c r="J1873" s="314" t="s">
        <v>747</v>
      </c>
      <c r="K1873" s="316" t="s">
        <v>746</v>
      </c>
      <c r="L1873" s="318" t="s">
        <v>5</v>
      </c>
      <c r="M1873" s="320">
        <v>-630000</v>
      </c>
      <c r="N1873" s="53">
        <v>719</v>
      </c>
      <c r="O1873" s="54"/>
    </row>
    <row r="1874" spans="8:15" ht="15.75" customHeight="1" thickBot="1" x14ac:dyDescent="0.3">
      <c r="H1874" s="311"/>
      <c r="I1874" s="313"/>
      <c r="J1874" s="315"/>
      <c r="K1874" s="317"/>
      <c r="L1874" s="319"/>
      <c r="M1874" s="321"/>
      <c r="N1874" s="55">
        <v>723</v>
      </c>
      <c r="O1874" s="56">
        <f>+M1873-O1873</f>
        <v>-630000</v>
      </c>
    </row>
    <row r="1875" spans="8:15" ht="15" customHeight="1" x14ac:dyDescent="0.25">
      <c r="H1875" s="310" t="s">
        <v>554</v>
      </c>
      <c r="I1875" s="312">
        <v>42520</v>
      </c>
      <c r="J1875" s="314" t="s">
        <v>748</v>
      </c>
      <c r="K1875" s="316" t="s">
        <v>746</v>
      </c>
      <c r="L1875" s="318" t="s">
        <v>5</v>
      </c>
      <c r="M1875" s="320">
        <v>-630000</v>
      </c>
      <c r="N1875" s="53">
        <v>719</v>
      </c>
      <c r="O1875" s="54"/>
    </row>
    <row r="1876" spans="8:15" ht="13.5" customHeight="1" thickBot="1" x14ac:dyDescent="0.3">
      <c r="H1876" s="311"/>
      <c r="I1876" s="313"/>
      <c r="J1876" s="315"/>
      <c r="K1876" s="317"/>
      <c r="L1876" s="319"/>
      <c r="M1876" s="321"/>
      <c r="N1876" s="55">
        <v>723</v>
      </c>
      <c r="O1876" s="56">
        <f>+M1875-O1875</f>
        <v>-630000</v>
      </c>
    </row>
    <row r="1877" spans="8:15" ht="15" customHeight="1" x14ac:dyDescent="0.25">
      <c r="H1877" s="310" t="s">
        <v>435</v>
      </c>
      <c r="I1877" s="312">
        <v>42520</v>
      </c>
      <c r="J1877" s="314" t="s">
        <v>749</v>
      </c>
      <c r="K1877" s="316" t="s">
        <v>746</v>
      </c>
      <c r="L1877" s="318" t="s">
        <v>5</v>
      </c>
      <c r="M1877" s="320">
        <v>-945000</v>
      </c>
      <c r="N1877" s="53">
        <v>719</v>
      </c>
      <c r="O1877" s="54"/>
    </row>
    <row r="1878" spans="8:15" ht="15.75" customHeight="1" thickBot="1" x14ac:dyDescent="0.3">
      <c r="H1878" s="311"/>
      <c r="I1878" s="313"/>
      <c r="J1878" s="315"/>
      <c r="K1878" s="317"/>
      <c r="L1878" s="319"/>
      <c r="M1878" s="321"/>
      <c r="N1878" s="55">
        <v>723</v>
      </c>
      <c r="O1878" s="56">
        <f>+M1877-O1877</f>
        <v>-945000</v>
      </c>
    </row>
    <row r="1879" spans="8:15" ht="15" customHeight="1" x14ac:dyDescent="0.25">
      <c r="H1879" s="310" t="s">
        <v>436</v>
      </c>
      <c r="I1879" s="312">
        <v>42520</v>
      </c>
      <c r="J1879" s="314" t="s">
        <v>750</v>
      </c>
      <c r="K1879" s="316" t="s">
        <v>746</v>
      </c>
      <c r="L1879" s="318" t="s">
        <v>5</v>
      </c>
      <c r="M1879" s="320">
        <v>-25611697</v>
      </c>
      <c r="N1879" s="53">
        <v>719</v>
      </c>
      <c r="O1879" s="54"/>
    </row>
    <row r="1880" spans="8:15" ht="15.75" customHeight="1" thickBot="1" x14ac:dyDescent="0.3">
      <c r="H1880" s="311"/>
      <c r="I1880" s="313"/>
      <c r="J1880" s="315"/>
      <c r="K1880" s="317"/>
      <c r="L1880" s="319"/>
      <c r="M1880" s="321"/>
      <c r="N1880" s="55">
        <v>723</v>
      </c>
      <c r="O1880" s="56">
        <f>+M1879-O1879</f>
        <v>-25611697</v>
      </c>
    </row>
    <row r="1881" spans="8:15" ht="12" customHeight="1" x14ac:dyDescent="0.25">
      <c r="H1881" s="310"/>
      <c r="I1881" s="312"/>
      <c r="J1881" s="314"/>
      <c r="K1881" s="316"/>
      <c r="L1881" s="318"/>
      <c r="M1881" s="320"/>
      <c r="N1881" s="53">
        <v>719</v>
      </c>
      <c r="O1881" s="54"/>
    </row>
    <row r="1882" spans="8:15" ht="12" customHeight="1" thickBot="1" x14ac:dyDescent="0.3">
      <c r="H1882" s="311"/>
      <c r="I1882" s="313"/>
      <c r="J1882" s="315"/>
      <c r="K1882" s="317"/>
      <c r="L1882" s="319"/>
      <c r="M1882" s="321"/>
      <c r="N1882" s="55">
        <v>723</v>
      </c>
      <c r="O1882" s="56">
        <f>+M1881-O1881</f>
        <v>0</v>
      </c>
    </row>
    <row r="1883" spans="8:15" ht="16.5" thickBot="1" x14ac:dyDescent="0.3">
      <c r="H1883" s="297" t="s">
        <v>80</v>
      </c>
      <c r="I1883" s="298"/>
      <c r="J1883" s="298"/>
      <c r="K1883" s="298"/>
      <c r="L1883" s="299"/>
      <c r="M1883" s="62">
        <f>SUM(M1873:M1882)</f>
        <v>-27816697</v>
      </c>
    </row>
    <row r="1884" spans="8:15" ht="16.5" thickBot="1" x14ac:dyDescent="0.3">
      <c r="H1884" s="300" t="s">
        <v>81</v>
      </c>
      <c r="I1884" s="301"/>
      <c r="J1884" s="301"/>
      <c r="K1884" s="301"/>
      <c r="L1884" s="302"/>
      <c r="M1884" s="63">
        <f>+M1848</f>
        <v>111406319</v>
      </c>
      <c r="N1884" s="64" t="s">
        <v>82</v>
      </c>
      <c r="O1884" s="65"/>
    </row>
    <row r="1885" spans="8:15" ht="16.5" thickBot="1" x14ac:dyDescent="0.3">
      <c r="H1885" s="303" t="s">
        <v>83</v>
      </c>
      <c r="I1885" s="304"/>
      <c r="J1885" s="304"/>
      <c r="K1885" s="304"/>
      <c r="L1885" s="305"/>
      <c r="M1885" s="66">
        <f>SUM(M1883:M1884)</f>
        <v>83589622</v>
      </c>
    </row>
    <row r="1886" spans="8:15" x14ac:dyDescent="0.25">
      <c r="H1886" s="67"/>
      <c r="I1886" s="67"/>
      <c r="J1886" s="67"/>
      <c r="K1886" s="67"/>
      <c r="L1886" s="67"/>
    </row>
    <row r="1887" spans="8:15" x14ac:dyDescent="0.25">
      <c r="H1887" s="41" t="s">
        <v>763</v>
      </c>
    </row>
    <row r="1888" spans="8:15" x14ac:dyDescent="0.25">
      <c r="M1888" s="68"/>
    </row>
    <row r="1889" spans="8:14" x14ac:dyDescent="0.25">
      <c r="H1889" s="40" t="s">
        <v>86</v>
      </c>
      <c r="K1889" s="69"/>
      <c r="M1889" s="68"/>
    </row>
    <row r="1890" spans="8:14" ht="15.75" thickBot="1" x14ac:dyDescent="0.3"/>
    <row r="1891" spans="8:14" ht="15.75" thickBot="1" x14ac:dyDescent="0.3">
      <c r="H1891" s="306" t="s">
        <v>87</v>
      </c>
      <c r="I1891" s="307"/>
      <c r="J1891" s="307"/>
      <c r="K1891" s="308"/>
      <c r="M1891" s="40" t="s">
        <v>89</v>
      </c>
    </row>
    <row r="1892" spans="8:14" ht="30.75" thickBot="1" x14ac:dyDescent="0.3">
      <c r="H1892" s="70" t="s">
        <v>62</v>
      </c>
      <c r="I1892" s="71" t="s">
        <v>90</v>
      </c>
      <c r="J1892" s="204" t="s">
        <v>91</v>
      </c>
      <c r="K1892" s="73" t="s">
        <v>92</v>
      </c>
    </row>
    <row r="1893" spans="8:14" x14ac:dyDescent="0.25">
      <c r="H1893" s="75">
        <v>719</v>
      </c>
      <c r="I1893" s="76">
        <f>+O1873+O1875+O1879</f>
        <v>0</v>
      </c>
      <c r="J1893" s="77">
        <f>+K1856</f>
        <v>17430000</v>
      </c>
      <c r="K1893" s="79">
        <f>+I1893+J1893</f>
        <v>17430000</v>
      </c>
    </row>
    <row r="1894" spans="8:14" x14ac:dyDescent="0.25">
      <c r="H1894" s="80">
        <v>721</v>
      </c>
      <c r="I1894" s="81">
        <v>0</v>
      </c>
      <c r="J1894" s="77">
        <f>+K1857</f>
        <v>83942059</v>
      </c>
      <c r="K1894" s="79">
        <f>+I1894+J1894</f>
        <v>83942059</v>
      </c>
    </row>
    <row r="1895" spans="8:14" x14ac:dyDescent="0.25">
      <c r="H1895" s="80">
        <v>722</v>
      </c>
      <c r="I1895" s="81"/>
      <c r="J1895" s="77">
        <f>+K1858</f>
        <v>0</v>
      </c>
      <c r="K1895" s="79">
        <f>+I1895+J1895</f>
        <v>0</v>
      </c>
    </row>
    <row r="1896" spans="8:14" ht="15.75" x14ac:dyDescent="0.25">
      <c r="H1896" s="80">
        <v>723</v>
      </c>
      <c r="I1896" s="81">
        <f>+O1880+O1876+O1874+O1878</f>
        <v>-27816697</v>
      </c>
      <c r="J1896" s="77">
        <f>+K1859</f>
        <v>9964260</v>
      </c>
      <c r="K1896" s="79">
        <f>+I1896+J1896</f>
        <v>-17852437</v>
      </c>
      <c r="M1896" s="109" t="s">
        <v>304</v>
      </c>
      <c r="N1896" s="84"/>
    </row>
    <row r="1897" spans="8:14" ht="16.5" thickBot="1" x14ac:dyDescent="0.3">
      <c r="H1897" s="85" t="s">
        <v>94</v>
      </c>
      <c r="I1897" s="86"/>
      <c r="J1897" s="77" t="e">
        <f>+K1860</f>
        <v>#REF!</v>
      </c>
      <c r="K1897" s="89" t="e">
        <f>+I1897+J1897</f>
        <v>#REF!</v>
      </c>
      <c r="M1897" s="45"/>
    </row>
    <row r="1898" spans="8:14" ht="16.5" thickBot="1" x14ac:dyDescent="0.3">
      <c r="H1898" s="90"/>
      <c r="I1898" s="94">
        <f>SUM(I1893:I1897)</f>
        <v>-27816697</v>
      </c>
      <c r="J1898" s="94" t="e">
        <f>SUM(J1893:J1897)</f>
        <v>#REF!</v>
      </c>
      <c r="K1898" s="95" t="e">
        <f>SUM(K1893:K1897)</f>
        <v>#REF!</v>
      </c>
    </row>
    <row r="1899" spans="8:14" ht="16.5" x14ac:dyDescent="0.25">
      <c r="H1899" s="39" t="s">
        <v>46</v>
      </c>
      <c r="I1899" s="40"/>
    </row>
    <row r="1900" spans="8:14" x14ac:dyDescent="0.25">
      <c r="H1900" s="41" t="s">
        <v>47</v>
      </c>
    </row>
    <row r="1901" spans="8:14" x14ac:dyDescent="0.25">
      <c r="H1901" s="41" t="s">
        <v>48</v>
      </c>
    </row>
    <row r="1902" spans="8:14" x14ac:dyDescent="0.25">
      <c r="H1902" s="41" t="s">
        <v>49</v>
      </c>
    </row>
    <row r="1903" spans="8:14" x14ac:dyDescent="0.25">
      <c r="H1903" s="40"/>
      <c r="I1903" s="40"/>
    </row>
    <row r="1904" spans="8:14" ht="15.75" x14ac:dyDescent="0.25">
      <c r="H1904" s="188" t="s">
        <v>764</v>
      </c>
      <c r="N1904" s="45"/>
    </row>
    <row r="1905" spans="8:15" ht="15.75" x14ac:dyDescent="0.25">
      <c r="H1905" s="47" t="s">
        <v>704</v>
      </c>
      <c r="N1905" s="47"/>
    </row>
    <row r="1906" spans="8:15" ht="16.5" x14ac:dyDescent="0.25">
      <c r="H1906" s="326" t="s">
        <v>683</v>
      </c>
      <c r="I1906" s="326"/>
      <c r="J1906" s="326"/>
      <c r="K1906" s="326"/>
      <c r="L1906" s="326"/>
      <c r="M1906" s="326"/>
      <c r="N1906" s="326"/>
      <c r="O1906" s="326"/>
    </row>
    <row r="1907" spans="8:15" ht="15.75" thickBot="1" x14ac:dyDescent="0.3"/>
    <row r="1908" spans="8:15" x14ac:dyDescent="0.25">
      <c r="H1908" s="327" t="s">
        <v>56</v>
      </c>
      <c r="I1908" s="322" t="s">
        <v>57</v>
      </c>
      <c r="J1908" s="322" t="s">
        <v>58</v>
      </c>
      <c r="K1908" s="322" t="s">
        <v>7</v>
      </c>
      <c r="L1908" s="322" t="s">
        <v>59</v>
      </c>
      <c r="M1908" s="322" t="s">
        <v>60</v>
      </c>
      <c r="N1908" s="322" t="s">
        <v>61</v>
      </c>
      <c r="O1908" s="324"/>
    </row>
    <row r="1909" spans="8:15" ht="15.75" thickBot="1" x14ac:dyDescent="0.3">
      <c r="H1909" s="328"/>
      <c r="I1909" s="323"/>
      <c r="J1909" s="323"/>
      <c r="K1909" s="323"/>
      <c r="L1909" s="323"/>
      <c r="M1909" s="323"/>
      <c r="N1909" s="51" t="s">
        <v>62</v>
      </c>
      <c r="O1909" s="52" t="s">
        <v>63</v>
      </c>
    </row>
    <row r="1910" spans="8:15" x14ac:dyDescent="0.25">
      <c r="H1910" s="318">
        <v>212</v>
      </c>
      <c r="I1910" s="312">
        <v>42549</v>
      </c>
      <c r="J1910" s="314" t="s">
        <v>297</v>
      </c>
      <c r="K1910" s="316" t="s">
        <v>765</v>
      </c>
      <c r="L1910" s="318" t="s">
        <v>66</v>
      </c>
      <c r="M1910" s="320">
        <v>140000</v>
      </c>
      <c r="N1910" s="53">
        <v>719</v>
      </c>
      <c r="O1910" s="54">
        <v>140000</v>
      </c>
    </row>
    <row r="1911" spans="8:15" ht="15.75" thickBot="1" x14ac:dyDescent="0.3">
      <c r="H1911" s="319"/>
      <c r="I1911" s="313"/>
      <c r="J1911" s="315"/>
      <c r="K1911" s="317"/>
      <c r="L1911" s="319"/>
      <c r="M1911" s="321"/>
      <c r="N1911" s="55">
        <v>721</v>
      </c>
      <c r="O1911" s="56">
        <f>+M1910-O1910</f>
        <v>0</v>
      </c>
    </row>
    <row r="1912" spans="8:15" ht="15" customHeight="1" x14ac:dyDescent="0.25">
      <c r="H1912" s="318">
        <v>213</v>
      </c>
      <c r="I1912" s="312">
        <v>42549</v>
      </c>
      <c r="J1912" s="314" t="s">
        <v>70</v>
      </c>
      <c r="K1912" s="316" t="s">
        <v>766</v>
      </c>
      <c r="L1912" s="318" t="s">
        <v>66</v>
      </c>
      <c r="M1912" s="320">
        <v>40000</v>
      </c>
      <c r="N1912" s="53">
        <v>719</v>
      </c>
      <c r="O1912" s="54">
        <v>40000</v>
      </c>
    </row>
    <row r="1913" spans="8:15" ht="15.75" customHeight="1" thickBot="1" x14ac:dyDescent="0.3">
      <c r="H1913" s="319"/>
      <c r="I1913" s="313"/>
      <c r="J1913" s="315"/>
      <c r="K1913" s="317"/>
      <c r="L1913" s="319"/>
      <c r="M1913" s="321"/>
      <c r="N1913" s="55">
        <v>721</v>
      </c>
      <c r="O1913" s="56">
        <f>+M1912-O1912</f>
        <v>0</v>
      </c>
    </row>
    <row r="1914" spans="8:15" ht="15" customHeight="1" x14ac:dyDescent="0.25">
      <c r="H1914" s="318">
        <v>214</v>
      </c>
      <c r="I1914" s="312">
        <v>42549</v>
      </c>
      <c r="J1914" s="314" t="s">
        <v>251</v>
      </c>
      <c r="K1914" s="316" t="s">
        <v>767</v>
      </c>
      <c r="L1914" s="318" t="s">
        <v>66</v>
      </c>
      <c r="M1914" s="320">
        <v>30000</v>
      </c>
      <c r="N1914" s="53">
        <v>719</v>
      </c>
      <c r="O1914" s="54">
        <v>30000</v>
      </c>
    </row>
    <row r="1915" spans="8:15" ht="15.75" customHeight="1" thickBot="1" x14ac:dyDescent="0.3">
      <c r="H1915" s="319"/>
      <c r="I1915" s="313"/>
      <c r="J1915" s="315"/>
      <c r="K1915" s="317"/>
      <c r="L1915" s="319"/>
      <c r="M1915" s="321"/>
      <c r="N1915" s="55">
        <v>721</v>
      </c>
      <c r="O1915" s="56">
        <f>+M1914-O1914</f>
        <v>0</v>
      </c>
    </row>
    <row r="1916" spans="8:15" ht="15" customHeight="1" x14ac:dyDescent="0.25">
      <c r="H1916" s="318">
        <v>215</v>
      </c>
      <c r="I1916" s="312">
        <v>42549</v>
      </c>
      <c r="J1916" s="314" t="s">
        <v>297</v>
      </c>
      <c r="K1916" s="316" t="s">
        <v>768</v>
      </c>
      <c r="L1916" s="318" t="s">
        <v>66</v>
      </c>
      <c r="M1916" s="320">
        <v>200000</v>
      </c>
      <c r="N1916" s="53">
        <v>719</v>
      </c>
      <c r="O1916" s="54">
        <v>200000</v>
      </c>
    </row>
    <row r="1917" spans="8:15" ht="15.75" customHeight="1" thickBot="1" x14ac:dyDescent="0.3">
      <c r="H1917" s="319"/>
      <c r="I1917" s="313"/>
      <c r="J1917" s="315"/>
      <c r="K1917" s="317"/>
      <c r="L1917" s="319"/>
      <c r="M1917" s="321"/>
      <c r="N1917" s="55">
        <v>721</v>
      </c>
      <c r="O1917" s="56">
        <f>+M1916-O1916</f>
        <v>0</v>
      </c>
    </row>
    <row r="1918" spans="8:15" ht="15" customHeight="1" x14ac:dyDescent="0.25">
      <c r="H1918" s="318"/>
      <c r="I1918" s="312"/>
      <c r="J1918" s="314"/>
      <c r="K1918" s="318"/>
      <c r="L1918" s="318"/>
      <c r="M1918" s="320"/>
      <c r="N1918" s="53">
        <v>719</v>
      </c>
      <c r="O1918" s="54"/>
    </row>
    <row r="1919" spans="8:15" ht="12" customHeight="1" thickBot="1" x14ac:dyDescent="0.3">
      <c r="H1919" s="319"/>
      <c r="I1919" s="313"/>
      <c r="J1919" s="315"/>
      <c r="K1919" s="319"/>
      <c r="L1919" s="319"/>
      <c r="M1919" s="321"/>
      <c r="N1919" s="55">
        <v>721</v>
      </c>
      <c r="O1919" s="56">
        <f>+M1918-O1918</f>
        <v>0</v>
      </c>
    </row>
    <row r="1920" spans="8:15" ht="16.5" thickBot="1" x14ac:dyDescent="0.3">
      <c r="H1920" s="297" t="s">
        <v>80</v>
      </c>
      <c r="I1920" s="298"/>
      <c r="J1920" s="298"/>
      <c r="K1920" s="298"/>
      <c r="L1920" s="299"/>
      <c r="M1920" s="62">
        <f>SUM(M1910:M1919)</f>
        <v>410000</v>
      </c>
    </row>
    <row r="1921" spans="8:15" ht="16.5" thickBot="1" x14ac:dyDescent="0.3">
      <c r="H1921" s="300" t="s">
        <v>81</v>
      </c>
      <c r="I1921" s="301"/>
      <c r="J1921" s="301"/>
      <c r="K1921" s="301"/>
      <c r="L1921" s="302"/>
      <c r="M1921" s="63">
        <f>+M1885</f>
        <v>83589622</v>
      </c>
      <c r="N1921" s="64" t="s">
        <v>82</v>
      </c>
      <c r="O1921" s="65">
        <f>649+441+67+12</f>
        <v>1169</v>
      </c>
    </row>
    <row r="1922" spans="8:15" ht="16.5" thickBot="1" x14ac:dyDescent="0.3">
      <c r="H1922" s="303" t="s">
        <v>83</v>
      </c>
      <c r="I1922" s="304"/>
      <c r="J1922" s="304"/>
      <c r="K1922" s="304"/>
      <c r="L1922" s="305"/>
      <c r="M1922" s="66">
        <f>SUM(M1920:M1921)</f>
        <v>83999622</v>
      </c>
    </row>
    <row r="1923" spans="8:15" x14ac:dyDescent="0.25">
      <c r="H1923" s="67"/>
      <c r="I1923" s="67"/>
      <c r="J1923" s="67"/>
      <c r="K1923" s="67"/>
      <c r="L1923" s="67"/>
    </row>
    <row r="1924" spans="8:15" x14ac:dyDescent="0.25">
      <c r="H1924" s="41" t="s">
        <v>769</v>
      </c>
    </row>
    <row r="1925" spans="8:15" ht="12" customHeight="1" x14ac:dyDescent="0.25">
      <c r="M1925" s="68"/>
    </row>
    <row r="1926" spans="8:15" x14ac:dyDescent="0.25">
      <c r="H1926" s="40" t="s">
        <v>86</v>
      </c>
      <c r="K1926" s="69"/>
      <c r="M1926" s="68"/>
    </row>
    <row r="1927" spans="8:15" ht="12.75" customHeight="1" thickBot="1" x14ac:dyDescent="0.3"/>
    <row r="1928" spans="8:15" ht="15.75" thickBot="1" x14ac:dyDescent="0.3">
      <c r="H1928" s="306" t="s">
        <v>87</v>
      </c>
      <c r="I1928" s="307"/>
      <c r="J1928" s="307"/>
      <c r="K1928" s="308"/>
      <c r="M1928" s="40" t="s">
        <v>89</v>
      </c>
    </row>
    <row r="1929" spans="8:15" ht="30.75" thickBot="1" x14ac:dyDescent="0.3">
      <c r="H1929" s="70" t="s">
        <v>62</v>
      </c>
      <c r="I1929" s="71" t="s">
        <v>90</v>
      </c>
      <c r="J1929" s="204" t="s">
        <v>91</v>
      </c>
      <c r="K1929" s="73" t="s">
        <v>92</v>
      </c>
    </row>
    <row r="1930" spans="8:15" x14ac:dyDescent="0.25">
      <c r="H1930" s="75">
        <v>719</v>
      </c>
      <c r="I1930" s="76">
        <f>+O1910+O1912+O1914+O1916+O1918</f>
        <v>410000</v>
      </c>
      <c r="J1930" s="77">
        <f>+K1893</f>
        <v>17430000</v>
      </c>
      <c r="K1930" s="79">
        <f>+I1930+J1930</f>
        <v>17840000</v>
      </c>
    </row>
    <row r="1931" spans="8:15" x14ac:dyDescent="0.25">
      <c r="H1931" s="80">
        <v>721</v>
      </c>
      <c r="I1931" s="81">
        <f>+O1911+O1913+O1915+O1917</f>
        <v>0</v>
      </c>
      <c r="J1931" s="77">
        <f>+K1894</f>
        <v>83942059</v>
      </c>
      <c r="K1931" s="79">
        <f>+I1931+J1931</f>
        <v>83942059</v>
      </c>
    </row>
    <row r="1932" spans="8:15" x14ac:dyDescent="0.25">
      <c r="H1932" s="80">
        <v>722</v>
      </c>
      <c r="I1932" s="81"/>
      <c r="J1932" s="77">
        <f>+K1895</f>
        <v>0</v>
      </c>
      <c r="K1932" s="79">
        <f>+I1932+J1932</f>
        <v>0</v>
      </c>
    </row>
    <row r="1933" spans="8:15" ht="15.75" x14ac:dyDescent="0.25">
      <c r="H1933" s="80">
        <v>723</v>
      </c>
      <c r="I1933" s="81"/>
      <c r="J1933" s="77">
        <f>+K1896</f>
        <v>-17852437</v>
      </c>
      <c r="K1933" s="79">
        <f>+I1933+J1933</f>
        <v>-17852437</v>
      </c>
      <c r="M1933" s="109" t="s">
        <v>304</v>
      </c>
      <c r="N1933" s="84"/>
    </row>
    <row r="1934" spans="8:15" ht="16.5" thickBot="1" x14ac:dyDescent="0.3">
      <c r="H1934" s="85" t="s">
        <v>94</v>
      </c>
      <c r="I1934" s="86"/>
      <c r="J1934" s="77" t="e">
        <f>+K1897</f>
        <v>#REF!</v>
      </c>
      <c r="K1934" s="89" t="e">
        <f>+I1934+J1934</f>
        <v>#REF!</v>
      </c>
      <c r="M1934" s="45"/>
    </row>
    <row r="1935" spans="8:15" ht="16.5" thickBot="1" x14ac:dyDescent="0.3">
      <c r="H1935" s="90"/>
      <c r="I1935" s="94">
        <f>SUM(I1930:I1934)</f>
        <v>410000</v>
      </c>
      <c r="J1935" s="94" t="e">
        <f>SUM(J1930:J1934)</f>
        <v>#REF!</v>
      </c>
      <c r="K1935" s="95" t="e">
        <f>SUM(K1930:K1934)</f>
        <v>#REF!</v>
      </c>
    </row>
    <row r="1936" spans="8:15" ht="16.5" x14ac:dyDescent="0.25">
      <c r="H1936" s="39" t="s">
        <v>46</v>
      </c>
      <c r="I1936" s="40"/>
    </row>
    <row r="1937" spans="8:15" x14ac:dyDescent="0.25">
      <c r="H1937" s="41" t="s">
        <v>47</v>
      </c>
    </row>
    <row r="1938" spans="8:15" x14ac:dyDescent="0.25">
      <c r="H1938" s="41" t="s">
        <v>48</v>
      </c>
    </row>
    <row r="1939" spans="8:15" x14ac:dyDescent="0.25">
      <c r="H1939" s="41" t="s">
        <v>49</v>
      </c>
    </row>
    <row r="1940" spans="8:15" ht="11.25" customHeight="1" x14ac:dyDescent="0.25">
      <c r="H1940" s="40"/>
      <c r="I1940" s="40"/>
    </row>
    <row r="1941" spans="8:15" ht="15.75" x14ac:dyDescent="0.25">
      <c r="H1941" s="188" t="s">
        <v>770</v>
      </c>
      <c r="N1941" s="45"/>
    </row>
    <row r="1942" spans="8:15" ht="15.75" x14ac:dyDescent="0.25">
      <c r="H1942" s="47" t="s">
        <v>704</v>
      </c>
      <c r="N1942" s="47"/>
    </row>
    <row r="1943" spans="8:15" ht="16.5" x14ac:dyDescent="0.25">
      <c r="H1943" s="326" t="s">
        <v>683</v>
      </c>
      <c r="I1943" s="326"/>
      <c r="J1943" s="326"/>
      <c r="K1943" s="326"/>
      <c r="L1943" s="326"/>
      <c r="M1943" s="326"/>
      <c r="N1943" s="326"/>
      <c r="O1943" s="326"/>
    </row>
    <row r="1944" spans="8:15" ht="15.75" thickBot="1" x14ac:dyDescent="0.3"/>
    <row r="1945" spans="8:15" x14ac:dyDescent="0.25">
      <c r="H1945" s="327" t="s">
        <v>56</v>
      </c>
      <c r="I1945" s="322" t="s">
        <v>57</v>
      </c>
      <c r="J1945" s="322" t="s">
        <v>58</v>
      </c>
      <c r="K1945" s="322" t="s">
        <v>7</v>
      </c>
      <c r="L1945" s="322" t="s">
        <v>59</v>
      </c>
      <c r="M1945" s="322" t="s">
        <v>60</v>
      </c>
      <c r="N1945" s="322" t="s">
        <v>61</v>
      </c>
      <c r="O1945" s="324"/>
    </row>
    <row r="1946" spans="8:15" ht="15.75" thickBot="1" x14ac:dyDescent="0.3">
      <c r="H1946" s="328"/>
      <c r="I1946" s="323"/>
      <c r="J1946" s="323"/>
      <c r="K1946" s="323"/>
      <c r="L1946" s="323"/>
      <c r="M1946" s="323"/>
      <c r="N1946" s="51" t="s">
        <v>62</v>
      </c>
      <c r="O1946" s="52" t="s">
        <v>63</v>
      </c>
    </row>
    <row r="1947" spans="8:15" ht="15" customHeight="1" x14ac:dyDescent="0.25">
      <c r="H1947" s="318">
        <v>216</v>
      </c>
      <c r="I1947" s="312">
        <v>42549</v>
      </c>
      <c r="J1947" s="314" t="s">
        <v>297</v>
      </c>
      <c r="K1947" s="316" t="s">
        <v>771</v>
      </c>
      <c r="L1947" s="318" t="s">
        <v>66</v>
      </c>
      <c r="M1947" s="320">
        <v>60000</v>
      </c>
      <c r="N1947" s="53">
        <v>719</v>
      </c>
      <c r="O1947" s="54">
        <v>60000</v>
      </c>
    </row>
    <row r="1948" spans="8:15" ht="15.75" customHeight="1" thickBot="1" x14ac:dyDescent="0.3">
      <c r="H1948" s="319"/>
      <c r="I1948" s="313"/>
      <c r="J1948" s="315"/>
      <c r="K1948" s="317"/>
      <c r="L1948" s="319"/>
      <c r="M1948" s="321"/>
      <c r="N1948" s="55">
        <v>721</v>
      </c>
      <c r="O1948" s="56">
        <f>+M1947-O1947</f>
        <v>0</v>
      </c>
    </row>
    <row r="1949" spans="8:15" ht="15" customHeight="1" x14ac:dyDescent="0.25">
      <c r="H1949" s="318">
        <v>217</v>
      </c>
      <c r="I1949" s="312">
        <v>42549</v>
      </c>
      <c r="J1949" s="314" t="s">
        <v>70</v>
      </c>
      <c r="K1949" s="316" t="s">
        <v>772</v>
      </c>
      <c r="L1949" s="318" t="s">
        <v>66</v>
      </c>
      <c r="M1949" s="320">
        <v>50000</v>
      </c>
      <c r="N1949" s="53">
        <v>719</v>
      </c>
      <c r="O1949" s="54">
        <v>50000</v>
      </c>
    </row>
    <row r="1950" spans="8:15" ht="15.75" customHeight="1" thickBot="1" x14ac:dyDescent="0.3">
      <c r="H1950" s="319"/>
      <c r="I1950" s="313"/>
      <c r="J1950" s="315"/>
      <c r="K1950" s="317"/>
      <c r="L1950" s="319"/>
      <c r="M1950" s="321"/>
      <c r="N1950" s="55">
        <v>721</v>
      </c>
      <c r="O1950" s="56">
        <f>+M1949-O1949</f>
        <v>0</v>
      </c>
    </row>
    <row r="1951" spans="8:15" ht="15" customHeight="1" x14ac:dyDescent="0.25">
      <c r="H1951" s="318">
        <v>218</v>
      </c>
      <c r="I1951" s="312">
        <v>42549</v>
      </c>
      <c r="J1951" s="314" t="s">
        <v>70</v>
      </c>
      <c r="K1951" s="316" t="s">
        <v>773</v>
      </c>
      <c r="L1951" s="318" t="s">
        <v>66</v>
      </c>
      <c r="M1951" s="320">
        <v>40000</v>
      </c>
      <c r="N1951" s="53">
        <v>719</v>
      </c>
      <c r="O1951" s="54">
        <v>40000</v>
      </c>
    </row>
    <row r="1952" spans="8:15" ht="15.75" customHeight="1" thickBot="1" x14ac:dyDescent="0.3">
      <c r="H1952" s="319"/>
      <c r="I1952" s="313"/>
      <c r="J1952" s="315"/>
      <c r="K1952" s="317"/>
      <c r="L1952" s="319"/>
      <c r="M1952" s="321"/>
      <c r="N1952" s="55">
        <v>721</v>
      </c>
      <c r="O1952" s="56">
        <f>+M1951-O1951</f>
        <v>0</v>
      </c>
    </row>
    <row r="1953" spans="8:15" ht="15" customHeight="1" x14ac:dyDescent="0.25">
      <c r="H1953" s="318"/>
      <c r="I1953" s="312"/>
      <c r="J1953" s="314"/>
      <c r="K1953" s="316"/>
      <c r="L1953" s="318"/>
      <c r="M1953" s="320"/>
      <c r="N1953" s="53">
        <v>719</v>
      </c>
      <c r="O1953" s="54">
        <v>0</v>
      </c>
    </row>
    <row r="1954" spans="8:15" ht="15.75" customHeight="1" thickBot="1" x14ac:dyDescent="0.3">
      <c r="H1954" s="319"/>
      <c r="I1954" s="313"/>
      <c r="J1954" s="315"/>
      <c r="K1954" s="317"/>
      <c r="L1954" s="319"/>
      <c r="M1954" s="321"/>
      <c r="N1954" s="55">
        <v>721</v>
      </c>
      <c r="O1954" s="56">
        <f>+M1953-O1953</f>
        <v>0</v>
      </c>
    </row>
    <row r="1955" spans="8:15" x14ac:dyDescent="0.25">
      <c r="H1955" s="318"/>
      <c r="I1955" s="312"/>
      <c r="J1955" s="314"/>
      <c r="K1955" s="318"/>
      <c r="L1955" s="318"/>
      <c r="M1955" s="320"/>
      <c r="N1955" s="53">
        <v>719</v>
      </c>
      <c r="O1955" s="54"/>
    </row>
    <row r="1956" spans="8:15" ht="15.75" thickBot="1" x14ac:dyDescent="0.3">
      <c r="H1956" s="319"/>
      <c r="I1956" s="313"/>
      <c r="J1956" s="315"/>
      <c r="K1956" s="319"/>
      <c r="L1956" s="319"/>
      <c r="M1956" s="321"/>
      <c r="N1956" s="55">
        <v>721</v>
      </c>
      <c r="O1956" s="56">
        <f>+M1955-O1955</f>
        <v>0</v>
      </c>
    </row>
    <row r="1957" spans="8:15" ht="16.5" thickBot="1" x14ac:dyDescent="0.3">
      <c r="H1957" s="297" t="s">
        <v>80</v>
      </c>
      <c r="I1957" s="298"/>
      <c r="J1957" s="298"/>
      <c r="K1957" s="298"/>
      <c r="L1957" s="299"/>
      <c r="M1957" s="62">
        <f>SUM(M1947:M1956)</f>
        <v>150000</v>
      </c>
    </row>
    <row r="1958" spans="8:15" ht="16.5" thickBot="1" x14ac:dyDescent="0.3">
      <c r="H1958" s="300" t="s">
        <v>81</v>
      </c>
      <c r="I1958" s="301"/>
      <c r="J1958" s="301"/>
      <c r="K1958" s="301"/>
      <c r="L1958" s="302"/>
      <c r="M1958" s="63">
        <f>+M1922</f>
        <v>83999622</v>
      </c>
      <c r="N1958" s="64" t="s">
        <v>82</v>
      </c>
      <c r="O1958" s="65">
        <f>314+120+93</f>
        <v>527</v>
      </c>
    </row>
    <row r="1959" spans="8:15" ht="16.5" thickBot="1" x14ac:dyDescent="0.3">
      <c r="H1959" s="303" t="s">
        <v>83</v>
      </c>
      <c r="I1959" s="304"/>
      <c r="J1959" s="304"/>
      <c r="K1959" s="304"/>
      <c r="L1959" s="305"/>
      <c r="M1959" s="66">
        <f>SUM(M1957:M1958)</f>
        <v>84149622</v>
      </c>
    </row>
    <row r="1960" spans="8:15" ht="14.25" customHeight="1" x14ac:dyDescent="0.25">
      <c r="H1960" s="67"/>
      <c r="I1960" s="67"/>
      <c r="J1960" s="67"/>
      <c r="K1960" s="67"/>
      <c r="L1960" s="67"/>
    </row>
    <row r="1961" spans="8:15" x14ac:dyDescent="0.25">
      <c r="H1961" s="41" t="s">
        <v>774</v>
      </c>
    </row>
    <row r="1962" spans="8:15" ht="11.25" customHeight="1" x14ac:dyDescent="0.25">
      <c r="M1962" s="68"/>
    </row>
    <row r="1963" spans="8:15" x14ac:dyDescent="0.25">
      <c r="H1963" s="40" t="s">
        <v>86</v>
      </c>
      <c r="K1963" s="69"/>
      <c r="M1963" s="68"/>
    </row>
    <row r="1964" spans="8:15" ht="12" customHeight="1" thickBot="1" x14ac:dyDescent="0.3"/>
    <row r="1965" spans="8:15" ht="15.75" thickBot="1" x14ac:dyDescent="0.3">
      <c r="H1965" s="306" t="s">
        <v>87</v>
      </c>
      <c r="I1965" s="307"/>
      <c r="J1965" s="307"/>
      <c r="K1965" s="308"/>
      <c r="M1965" s="40" t="s">
        <v>89</v>
      </c>
    </row>
    <row r="1966" spans="8:15" ht="30.75" thickBot="1" x14ac:dyDescent="0.3">
      <c r="H1966" s="70" t="s">
        <v>62</v>
      </c>
      <c r="I1966" s="71" t="s">
        <v>90</v>
      </c>
      <c r="J1966" s="204" t="s">
        <v>91</v>
      </c>
      <c r="K1966" s="73" t="s">
        <v>92</v>
      </c>
    </row>
    <row r="1967" spans="8:15" x14ac:dyDescent="0.25">
      <c r="H1967" s="75">
        <v>719</v>
      </c>
      <c r="I1967" s="76">
        <f>+O1947+O1949+O1951+O1953+O1955</f>
        <v>150000</v>
      </c>
      <c r="J1967" s="77">
        <f>+K1930</f>
        <v>17840000</v>
      </c>
      <c r="K1967" s="79">
        <f>+I1967+J1967</f>
        <v>17990000</v>
      </c>
    </row>
    <row r="1968" spans="8:15" x14ac:dyDescent="0.25">
      <c r="H1968" s="80">
        <v>721</v>
      </c>
      <c r="I1968" s="81">
        <f>+O1948+O1950+O1952+O1954</f>
        <v>0</v>
      </c>
      <c r="J1968" s="77">
        <f>+K1931</f>
        <v>83942059</v>
      </c>
      <c r="K1968" s="79">
        <f>+I1968+J1968</f>
        <v>83942059</v>
      </c>
    </row>
    <row r="1969" spans="8:15" x14ac:dyDescent="0.25">
      <c r="H1969" s="80">
        <v>722</v>
      </c>
      <c r="I1969" s="81"/>
      <c r="J1969" s="77">
        <f>+K1932</f>
        <v>0</v>
      </c>
      <c r="K1969" s="79">
        <f>+I1969+J1969</f>
        <v>0</v>
      </c>
    </row>
    <row r="1970" spans="8:15" ht="15.75" x14ac:dyDescent="0.25">
      <c r="H1970" s="80">
        <v>723</v>
      </c>
      <c r="I1970" s="81"/>
      <c r="J1970" s="77">
        <f>+K1933</f>
        <v>-17852437</v>
      </c>
      <c r="K1970" s="79">
        <f>+I1970+J1970</f>
        <v>-17852437</v>
      </c>
      <c r="M1970" s="109" t="s">
        <v>304</v>
      </c>
      <c r="N1970" s="84"/>
    </row>
    <row r="1971" spans="8:15" ht="16.5" thickBot="1" x14ac:dyDescent="0.3">
      <c r="H1971" s="85" t="s">
        <v>94</v>
      </c>
      <c r="I1971" s="86"/>
      <c r="J1971" s="77" t="e">
        <f>+K1934</f>
        <v>#REF!</v>
      </c>
      <c r="K1971" s="89" t="e">
        <f>+I1971+J1971</f>
        <v>#REF!</v>
      </c>
      <c r="M1971" s="45"/>
    </row>
    <row r="1972" spans="8:15" ht="16.5" thickBot="1" x14ac:dyDescent="0.3">
      <c r="H1972" s="90"/>
      <c r="I1972" s="94">
        <f>SUM(I1967:I1971)</f>
        <v>150000</v>
      </c>
      <c r="J1972" s="94" t="e">
        <f>SUM(J1967:J1971)</f>
        <v>#REF!</v>
      </c>
      <c r="K1972" s="95" t="e">
        <f>SUM(K1967:K1971)</f>
        <v>#REF!</v>
      </c>
    </row>
    <row r="1973" spans="8:15" ht="16.5" x14ac:dyDescent="0.25">
      <c r="H1973" s="39" t="s">
        <v>46</v>
      </c>
      <c r="I1973" s="40"/>
    </row>
    <row r="1974" spans="8:15" x14ac:dyDescent="0.25">
      <c r="H1974" s="41" t="s">
        <v>47</v>
      </c>
    </row>
    <row r="1975" spans="8:15" x14ac:dyDescent="0.25">
      <c r="H1975" s="41" t="s">
        <v>48</v>
      </c>
    </row>
    <row r="1976" spans="8:15" x14ac:dyDescent="0.25">
      <c r="H1976" s="41" t="s">
        <v>49</v>
      </c>
    </row>
    <row r="1977" spans="8:15" ht="11.25" customHeight="1" x14ac:dyDescent="0.25">
      <c r="H1977" s="40"/>
      <c r="I1977" s="40"/>
    </row>
    <row r="1978" spans="8:15" ht="15.75" x14ac:dyDescent="0.25">
      <c r="H1978" s="188" t="s">
        <v>775</v>
      </c>
      <c r="N1978" s="45"/>
    </row>
    <row r="1979" spans="8:15" ht="15.75" x14ac:dyDescent="0.25">
      <c r="H1979" s="47" t="s">
        <v>704</v>
      </c>
      <c r="N1979" s="47"/>
    </row>
    <row r="1980" spans="8:15" ht="16.5" x14ac:dyDescent="0.25">
      <c r="H1980" s="326" t="s">
        <v>683</v>
      </c>
      <c r="I1980" s="326"/>
      <c r="J1980" s="326"/>
      <c r="K1980" s="326"/>
      <c r="L1980" s="326"/>
      <c r="M1980" s="326"/>
      <c r="N1980" s="326"/>
      <c r="O1980" s="326"/>
    </row>
    <row r="1981" spans="8:15" ht="15.75" thickBot="1" x14ac:dyDescent="0.3"/>
    <row r="1982" spans="8:15" x14ac:dyDescent="0.25">
      <c r="H1982" s="327" t="s">
        <v>56</v>
      </c>
      <c r="I1982" s="322" t="s">
        <v>57</v>
      </c>
      <c r="J1982" s="322" t="s">
        <v>58</v>
      </c>
      <c r="K1982" s="322" t="s">
        <v>7</v>
      </c>
      <c r="L1982" s="322" t="s">
        <v>59</v>
      </c>
      <c r="M1982" s="322" t="s">
        <v>60</v>
      </c>
      <c r="N1982" s="322" t="s">
        <v>61</v>
      </c>
      <c r="O1982" s="324"/>
    </row>
    <row r="1983" spans="8:15" ht="15.75" thickBot="1" x14ac:dyDescent="0.3">
      <c r="H1983" s="328"/>
      <c r="I1983" s="323"/>
      <c r="J1983" s="323"/>
      <c r="K1983" s="323"/>
      <c r="L1983" s="323"/>
      <c r="M1983" s="323"/>
      <c r="N1983" s="51" t="s">
        <v>62</v>
      </c>
      <c r="O1983" s="52" t="s">
        <v>63</v>
      </c>
    </row>
    <row r="1984" spans="8:15" x14ac:dyDescent="0.25">
      <c r="H1984" s="318">
        <v>219</v>
      </c>
      <c r="I1984" s="312">
        <v>42549</v>
      </c>
      <c r="J1984" s="314" t="s">
        <v>297</v>
      </c>
      <c r="K1984" s="316" t="s">
        <v>776</v>
      </c>
      <c r="L1984" s="318" t="s">
        <v>66</v>
      </c>
      <c r="M1984" s="320">
        <v>190000</v>
      </c>
      <c r="N1984" s="53">
        <v>719</v>
      </c>
      <c r="O1984" s="54">
        <v>190000</v>
      </c>
    </row>
    <row r="1985" spans="8:15" ht="15.75" thickBot="1" x14ac:dyDescent="0.3">
      <c r="H1985" s="319"/>
      <c r="I1985" s="313"/>
      <c r="J1985" s="315"/>
      <c r="K1985" s="317"/>
      <c r="L1985" s="319"/>
      <c r="M1985" s="321"/>
      <c r="N1985" s="55">
        <v>721</v>
      </c>
      <c r="O1985" s="56">
        <f>+M1984-O1984</f>
        <v>0</v>
      </c>
    </row>
    <row r="1986" spans="8:15" x14ac:dyDescent="0.25">
      <c r="H1986" s="318">
        <v>220</v>
      </c>
      <c r="I1986" s="312">
        <v>42549</v>
      </c>
      <c r="J1986" s="314" t="s">
        <v>70</v>
      </c>
      <c r="K1986" s="316" t="s">
        <v>777</v>
      </c>
      <c r="L1986" s="318" t="s">
        <v>66</v>
      </c>
      <c r="M1986" s="320">
        <v>60000</v>
      </c>
      <c r="N1986" s="53">
        <v>719</v>
      </c>
      <c r="O1986" s="54">
        <v>60000</v>
      </c>
    </row>
    <row r="1987" spans="8:15" ht="15.75" thickBot="1" x14ac:dyDescent="0.3">
      <c r="H1987" s="319"/>
      <c r="I1987" s="313"/>
      <c r="J1987" s="315"/>
      <c r="K1987" s="317"/>
      <c r="L1987" s="319"/>
      <c r="M1987" s="321"/>
      <c r="N1987" s="55">
        <v>721</v>
      </c>
      <c r="O1987" s="56">
        <f>+M1986-O1986</f>
        <v>0</v>
      </c>
    </row>
    <row r="1988" spans="8:15" x14ac:dyDescent="0.25">
      <c r="H1988" s="318">
        <v>221</v>
      </c>
      <c r="I1988" s="312">
        <v>42549</v>
      </c>
      <c r="J1988" s="314" t="s">
        <v>251</v>
      </c>
      <c r="K1988" s="316" t="s">
        <v>778</v>
      </c>
      <c r="L1988" s="318" t="s">
        <v>66</v>
      </c>
      <c r="M1988" s="320">
        <v>50000</v>
      </c>
      <c r="N1988" s="53">
        <v>719</v>
      </c>
      <c r="O1988" s="54">
        <v>50000</v>
      </c>
    </row>
    <row r="1989" spans="8:15" ht="15.75" thickBot="1" x14ac:dyDescent="0.3">
      <c r="H1989" s="319"/>
      <c r="I1989" s="313"/>
      <c r="J1989" s="315"/>
      <c r="K1989" s="317"/>
      <c r="L1989" s="319"/>
      <c r="M1989" s="321"/>
      <c r="N1989" s="55">
        <v>721</v>
      </c>
      <c r="O1989" s="56">
        <f>+M1988-O1988</f>
        <v>0</v>
      </c>
    </row>
    <row r="1990" spans="8:15" x14ac:dyDescent="0.25">
      <c r="H1990" s="318"/>
      <c r="I1990" s="312"/>
      <c r="J1990" s="314"/>
      <c r="K1990" s="316"/>
      <c r="L1990" s="318"/>
      <c r="M1990" s="320"/>
      <c r="N1990" s="53">
        <v>719</v>
      </c>
      <c r="O1990" s="54">
        <v>0</v>
      </c>
    </row>
    <row r="1991" spans="8:15" ht="13.5" customHeight="1" thickBot="1" x14ac:dyDescent="0.3">
      <c r="H1991" s="319"/>
      <c r="I1991" s="313"/>
      <c r="J1991" s="315"/>
      <c r="K1991" s="317"/>
      <c r="L1991" s="319"/>
      <c r="M1991" s="321"/>
      <c r="N1991" s="55">
        <v>721</v>
      </c>
      <c r="O1991" s="56">
        <f>+M1990-O1990</f>
        <v>0</v>
      </c>
    </row>
    <row r="1992" spans="8:15" x14ac:dyDescent="0.25">
      <c r="H1992" s="318"/>
      <c r="I1992" s="312"/>
      <c r="J1992" s="314"/>
      <c r="K1992" s="318"/>
      <c r="L1992" s="318"/>
      <c r="M1992" s="320"/>
      <c r="N1992" s="53">
        <v>719</v>
      </c>
      <c r="O1992" s="54"/>
    </row>
    <row r="1993" spans="8:15" ht="12" customHeight="1" thickBot="1" x14ac:dyDescent="0.3">
      <c r="H1993" s="319"/>
      <c r="I1993" s="313"/>
      <c r="J1993" s="315"/>
      <c r="K1993" s="319"/>
      <c r="L1993" s="319"/>
      <c r="M1993" s="321"/>
      <c r="N1993" s="55">
        <v>721</v>
      </c>
      <c r="O1993" s="56">
        <f>+M1992-O1992</f>
        <v>0</v>
      </c>
    </row>
    <row r="1994" spans="8:15" ht="16.5" thickBot="1" x14ac:dyDescent="0.3">
      <c r="H1994" s="297" t="s">
        <v>80</v>
      </c>
      <c r="I1994" s="298"/>
      <c r="J1994" s="298"/>
      <c r="K1994" s="298"/>
      <c r="L1994" s="299"/>
      <c r="M1994" s="62">
        <f>SUM(M1984:M1993)</f>
        <v>300000</v>
      </c>
    </row>
    <row r="1995" spans="8:15" ht="16.5" thickBot="1" x14ac:dyDescent="0.3">
      <c r="H1995" s="300" t="s">
        <v>81</v>
      </c>
      <c r="I1995" s="301"/>
      <c r="J1995" s="301"/>
      <c r="K1995" s="301"/>
      <c r="L1995" s="302"/>
      <c r="M1995" s="63">
        <f>+M1959</f>
        <v>84149622</v>
      </c>
      <c r="N1995" s="64" t="s">
        <v>82</v>
      </c>
      <c r="O1995" s="65">
        <f>50+174+606</f>
        <v>830</v>
      </c>
    </row>
    <row r="1996" spans="8:15" ht="16.5" thickBot="1" x14ac:dyDescent="0.3">
      <c r="H1996" s="303" t="s">
        <v>83</v>
      </c>
      <c r="I1996" s="304"/>
      <c r="J1996" s="304"/>
      <c r="K1996" s="304"/>
      <c r="L1996" s="305"/>
      <c r="M1996" s="66">
        <f>SUM(M1994:M1995)</f>
        <v>84449622</v>
      </c>
    </row>
    <row r="1997" spans="8:15" x14ac:dyDescent="0.25">
      <c r="H1997" s="67"/>
      <c r="I1997" s="67"/>
      <c r="J1997" s="67"/>
      <c r="K1997" s="67"/>
      <c r="L1997" s="67"/>
    </row>
    <row r="1998" spans="8:15" x14ac:dyDescent="0.25">
      <c r="H1998" s="41" t="s">
        <v>779</v>
      </c>
    </row>
    <row r="1999" spans="8:15" x14ac:dyDescent="0.25">
      <c r="M1999" s="68"/>
    </row>
    <row r="2000" spans="8:15" x14ac:dyDescent="0.25">
      <c r="H2000" s="40" t="s">
        <v>86</v>
      </c>
      <c r="K2000" s="69"/>
      <c r="M2000" s="68"/>
    </row>
    <row r="2001" spans="8:14" ht="12.75" customHeight="1" thickBot="1" x14ac:dyDescent="0.3"/>
    <row r="2002" spans="8:14" ht="15.75" thickBot="1" x14ac:dyDescent="0.3">
      <c r="H2002" s="306" t="s">
        <v>87</v>
      </c>
      <c r="I2002" s="307"/>
      <c r="J2002" s="307"/>
      <c r="K2002" s="308"/>
      <c r="M2002" s="40" t="s">
        <v>89</v>
      </c>
    </row>
    <row r="2003" spans="8:14" ht="30.75" thickBot="1" x14ac:dyDescent="0.3">
      <c r="H2003" s="70" t="s">
        <v>62</v>
      </c>
      <c r="I2003" s="71" t="s">
        <v>90</v>
      </c>
      <c r="J2003" s="204" t="s">
        <v>91</v>
      </c>
      <c r="K2003" s="73" t="s">
        <v>92</v>
      </c>
    </row>
    <row r="2004" spans="8:14" x14ac:dyDescent="0.25">
      <c r="H2004" s="75">
        <v>719</v>
      </c>
      <c r="I2004" s="76">
        <f>+O1984+O1986+O1988+O1990+O1992</f>
        <v>300000</v>
      </c>
      <c r="J2004" s="77">
        <f>+K1967</f>
        <v>17990000</v>
      </c>
      <c r="K2004" s="79">
        <f>+I2004+J2004</f>
        <v>18290000</v>
      </c>
    </row>
    <row r="2005" spans="8:14" x14ac:dyDescent="0.25">
      <c r="H2005" s="80">
        <v>721</v>
      </c>
      <c r="I2005" s="81">
        <f>+O1985+O1987+O1989+O1991</f>
        <v>0</v>
      </c>
      <c r="J2005" s="77">
        <f>+K1968</f>
        <v>83942059</v>
      </c>
      <c r="K2005" s="79">
        <f>+I2005+J2005</f>
        <v>83942059</v>
      </c>
    </row>
    <row r="2006" spans="8:14" x14ac:dyDescent="0.25">
      <c r="H2006" s="80">
        <v>722</v>
      </c>
      <c r="I2006" s="81"/>
      <c r="J2006" s="77">
        <f>+K1969</f>
        <v>0</v>
      </c>
      <c r="K2006" s="79">
        <f>+I2006+J2006</f>
        <v>0</v>
      </c>
    </row>
    <row r="2007" spans="8:14" ht="15.75" x14ac:dyDescent="0.25">
      <c r="H2007" s="80">
        <v>723</v>
      </c>
      <c r="I2007" s="81"/>
      <c r="J2007" s="77">
        <f>+K1970</f>
        <v>-17852437</v>
      </c>
      <c r="K2007" s="79">
        <f>+I2007+J2007</f>
        <v>-17852437</v>
      </c>
      <c r="M2007" s="109" t="s">
        <v>304</v>
      </c>
      <c r="N2007" s="84"/>
    </row>
    <row r="2008" spans="8:14" ht="16.5" thickBot="1" x14ac:dyDescent="0.3">
      <c r="H2008" s="85" t="s">
        <v>94</v>
      </c>
      <c r="I2008" s="86"/>
      <c r="J2008" s="77" t="e">
        <f>+K1971</f>
        <v>#REF!</v>
      </c>
      <c r="K2008" s="89" t="e">
        <f>+I2008+J2008</f>
        <v>#REF!</v>
      </c>
      <c r="M2008" s="45"/>
    </row>
    <row r="2009" spans="8:14" ht="16.5" thickBot="1" x14ac:dyDescent="0.3">
      <c r="H2009" s="90"/>
      <c r="I2009" s="94">
        <f>SUM(I2004:I2008)</f>
        <v>300000</v>
      </c>
      <c r="J2009" s="94" t="e">
        <f>SUM(J2004:J2008)</f>
        <v>#REF!</v>
      </c>
      <c r="K2009" s="95" t="e">
        <f>SUM(K2004:K2008)</f>
        <v>#REF!</v>
      </c>
    </row>
    <row r="2010" spans="8:14" ht="16.5" x14ac:dyDescent="0.25">
      <c r="H2010" s="39" t="s">
        <v>46</v>
      </c>
      <c r="I2010" s="40"/>
    </row>
    <row r="2011" spans="8:14" x14ac:dyDescent="0.25">
      <c r="H2011" s="41" t="s">
        <v>47</v>
      </c>
    </row>
    <row r="2012" spans="8:14" x14ac:dyDescent="0.25">
      <c r="H2012" s="41" t="s">
        <v>48</v>
      </c>
    </row>
    <row r="2013" spans="8:14" x14ac:dyDescent="0.25">
      <c r="H2013" s="41" t="s">
        <v>49</v>
      </c>
    </row>
    <row r="2014" spans="8:14" ht="12.75" customHeight="1" x14ac:dyDescent="0.25">
      <c r="H2014" s="40"/>
      <c r="I2014" s="40"/>
    </row>
    <row r="2015" spans="8:14" ht="15.75" x14ac:dyDescent="0.25">
      <c r="H2015" s="188" t="s">
        <v>780</v>
      </c>
      <c r="N2015" s="45"/>
    </row>
    <row r="2016" spans="8:14" ht="15.75" x14ac:dyDescent="0.25">
      <c r="H2016" s="47" t="s">
        <v>704</v>
      </c>
      <c r="N2016" s="47"/>
    </row>
    <row r="2017" spans="8:15" ht="16.5" x14ac:dyDescent="0.25">
      <c r="H2017" s="326" t="s">
        <v>683</v>
      </c>
      <c r="I2017" s="326"/>
      <c r="J2017" s="326"/>
      <c r="K2017" s="326"/>
      <c r="L2017" s="326"/>
      <c r="M2017" s="326"/>
      <c r="N2017" s="326"/>
      <c r="O2017" s="326"/>
    </row>
    <row r="2018" spans="8:15" ht="15.75" thickBot="1" x14ac:dyDescent="0.3"/>
    <row r="2019" spans="8:15" x14ac:dyDescent="0.25">
      <c r="H2019" s="327" t="s">
        <v>56</v>
      </c>
      <c r="I2019" s="322" t="s">
        <v>57</v>
      </c>
      <c r="J2019" s="322" t="s">
        <v>58</v>
      </c>
      <c r="K2019" s="322" t="s">
        <v>7</v>
      </c>
      <c r="L2019" s="322" t="s">
        <v>59</v>
      </c>
      <c r="M2019" s="322" t="s">
        <v>60</v>
      </c>
      <c r="N2019" s="322" t="s">
        <v>61</v>
      </c>
      <c r="O2019" s="324"/>
    </row>
    <row r="2020" spans="8:15" ht="15.75" thickBot="1" x14ac:dyDescent="0.3">
      <c r="H2020" s="328"/>
      <c r="I2020" s="323"/>
      <c r="J2020" s="323"/>
      <c r="K2020" s="323"/>
      <c r="L2020" s="323"/>
      <c r="M2020" s="323"/>
      <c r="N2020" s="51" t="s">
        <v>62</v>
      </c>
      <c r="O2020" s="52" t="s">
        <v>63</v>
      </c>
    </row>
    <row r="2021" spans="8:15" x14ac:dyDescent="0.25">
      <c r="H2021" s="318">
        <v>222</v>
      </c>
      <c r="I2021" s="312">
        <v>42551</v>
      </c>
      <c r="J2021" s="314" t="s">
        <v>781</v>
      </c>
      <c r="K2021" s="316" t="s">
        <v>782</v>
      </c>
      <c r="L2021" s="318" t="s">
        <v>5</v>
      </c>
      <c r="M2021" s="320">
        <v>28000</v>
      </c>
      <c r="N2021" s="53">
        <v>719</v>
      </c>
      <c r="O2021" s="54">
        <v>20000</v>
      </c>
    </row>
    <row r="2022" spans="8:15" ht="15.75" thickBot="1" x14ac:dyDescent="0.3">
      <c r="H2022" s="319"/>
      <c r="I2022" s="313"/>
      <c r="J2022" s="315"/>
      <c r="K2022" s="317"/>
      <c r="L2022" s="319"/>
      <c r="M2022" s="321"/>
      <c r="N2022" s="55">
        <v>721</v>
      </c>
      <c r="O2022" s="56">
        <f>+M2021-O2021</f>
        <v>8000</v>
      </c>
    </row>
    <row r="2023" spans="8:15" ht="15" customHeight="1" x14ac:dyDescent="0.25">
      <c r="H2023" s="318">
        <v>223</v>
      </c>
      <c r="I2023" s="312">
        <v>42551</v>
      </c>
      <c r="J2023" s="314" t="s">
        <v>70</v>
      </c>
      <c r="K2023" s="316" t="s">
        <v>765</v>
      </c>
      <c r="L2023" s="318" t="s">
        <v>5</v>
      </c>
      <c r="M2023" s="320">
        <v>294000</v>
      </c>
      <c r="N2023" s="53">
        <v>719</v>
      </c>
      <c r="O2023" s="54">
        <v>210000</v>
      </c>
    </row>
    <row r="2024" spans="8:15" ht="15.75" customHeight="1" thickBot="1" x14ac:dyDescent="0.3">
      <c r="H2024" s="319"/>
      <c r="I2024" s="313"/>
      <c r="J2024" s="315"/>
      <c r="K2024" s="317"/>
      <c r="L2024" s="319"/>
      <c r="M2024" s="321"/>
      <c r="N2024" s="55">
        <v>721</v>
      </c>
      <c r="O2024" s="56">
        <f>+M2023-O2023</f>
        <v>84000</v>
      </c>
    </row>
    <row r="2025" spans="8:15" ht="15" customHeight="1" x14ac:dyDescent="0.25">
      <c r="H2025" s="318">
        <v>224</v>
      </c>
      <c r="I2025" s="312">
        <v>42551</v>
      </c>
      <c r="J2025" s="314" t="s">
        <v>231</v>
      </c>
      <c r="K2025" s="316" t="s">
        <v>783</v>
      </c>
      <c r="L2025" s="318" t="s">
        <v>5</v>
      </c>
      <c r="M2025" s="320">
        <v>84000</v>
      </c>
      <c r="N2025" s="53">
        <v>719</v>
      </c>
      <c r="O2025" s="54">
        <v>60000</v>
      </c>
    </row>
    <row r="2026" spans="8:15" ht="15.75" customHeight="1" thickBot="1" x14ac:dyDescent="0.3">
      <c r="H2026" s="319"/>
      <c r="I2026" s="313"/>
      <c r="J2026" s="315"/>
      <c r="K2026" s="317"/>
      <c r="L2026" s="319"/>
      <c r="M2026" s="321"/>
      <c r="N2026" s="55">
        <v>721</v>
      </c>
      <c r="O2026" s="56">
        <f>+M2025-O2025</f>
        <v>24000</v>
      </c>
    </row>
    <row r="2027" spans="8:15" ht="15" customHeight="1" x14ac:dyDescent="0.25">
      <c r="H2027" s="318">
        <v>225</v>
      </c>
      <c r="I2027" s="312">
        <v>42551</v>
      </c>
      <c r="J2027" s="314" t="s">
        <v>297</v>
      </c>
      <c r="K2027" s="316" t="s">
        <v>765</v>
      </c>
      <c r="L2027" s="318" t="s">
        <v>5</v>
      </c>
      <c r="M2027" s="320">
        <v>672000</v>
      </c>
      <c r="N2027" s="53">
        <v>719</v>
      </c>
      <c r="O2027" s="54">
        <v>480000</v>
      </c>
    </row>
    <row r="2028" spans="8:15" ht="15.75" customHeight="1" thickBot="1" x14ac:dyDescent="0.3">
      <c r="H2028" s="319"/>
      <c r="I2028" s="313"/>
      <c r="J2028" s="315"/>
      <c r="K2028" s="317"/>
      <c r="L2028" s="319"/>
      <c r="M2028" s="321"/>
      <c r="N2028" s="55">
        <v>721</v>
      </c>
      <c r="O2028" s="56">
        <f>+M2027-O2027</f>
        <v>192000</v>
      </c>
    </row>
    <row r="2029" spans="8:15" ht="14.25" customHeight="1" x14ac:dyDescent="0.25">
      <c r="H2029" s="318"/>
      <c r="I2029" s="312"/>
      <c r="J2029" s="314"/>
      <c r="K2029" s="318"/>
      <c r="L2029" s="318"/>
      <c r="M2029" s="320"/>
      <c r="N2029" s="53">
        <v>719</v>
      </c>
      <c r="O2029" s="54"/>
    </row>
    <row r="2030" spans="8:15" ht="12.75" customHeight="1" thickBot="1" x14ac:dyDescent="0.3">
      <c r="H2030" s="319"/>
      <c r="I2030" s="313"/>
      <c r="J2030" s="315"/>
      <c r="K2030" s="319"/>
      <c r="L2030" s="319"/>
      <c r="M2030" s="321"/>
      <c r="N2030" s="55">
        <v>721</v>
      </c>
      <c r="O2030" s="56">
        <f>+M2029-O2029</f>
        <v>0</v>
      </c>
    </row>
    <row r="2031" spans="8:15" ht="16.5" thickBot="1" x14ac:dyDescent="0.3">
      <c r="H2031" s="297" t="s">
        <v>80</v>
      </c>
      <c r="I2031" s="298"/>
      <c r="J2031" s="298"/>
      <c r="K2031" s="298"/>
      <c r="L2031" s="299"/>
      <c r="M2031" s="62">
        <f>SUM(M2021:M2030)</f>
        <v>1078000</v>
      </c>
    </row>
    <row r="2032" spans="8:15" ht="16.5" thickBot="1" x14ac:dyDescent="0.3">
      <c r="H2032" s="300" t="s">
        <v>81</v>
      </c>
      <c r="I2032" s="301"/>
      <c r="J2032" s="301"/>
      <c r="K2032" s="301"/>
      <c r="L2032" s="302"/>
      <c r="M2032" s="63">
        <f>+M1996</f>
        <v>84449622</v>
      </c>
      <c r="N2032" s="64" t="s">
        <v>82</v>
      </c>
      <c r="O2032" s="65">
        <f>22+571+21+917</f>
        <v>1531</v>
      </c>
    </row>
    <row r="2033" spans="8:14" ht="16.5" thickBot="1" x14ac:dyDescent="0.3">
      <c r="H2033" s="303" t="s">
        <v>83</v>
      </c>
      <c r="I2033" s="304"/>
      <c r="J2033" s="304"/>
      <c r="K2033" s="304"/>
      <c r="L2033" s="305"/>
      <c r="M2033" s="66">
        <f>SUM(M2031:M2032)</f>
        <v>85527622</v>
      </c>
    </row>
    <row r="2034" spans="8:14" x14ac:dyDescent="0.25">
      <c r="H2034" s="67"/>
      <c r="I2034" s="67"/>
      <c r="J2034" s="67"/>
      <c r="K2034" s="67"/>
      <c r="L2034" s="67"/>
    </row>
    <row r="2035" spans="8:14" x14ac:dyDescent="0.25">
      <c r="H2035" s="41" t="s">
        <v>784</v>
      </c>
    </row>
    <row r="2036" spans="8:14" ht="12.75" customHeight="1" x14ac:dyDescent="0.25">
      <c r="M2036" s="68"/>
    </row>
    <row r="2037" spans="8:14" x14ac:dyDescent="0.25">
      <c r="H2037" s="40" t="s">
        <v>86</v>
      </c>
      <c r="K2037" s="69"/>
      <c r="M2037" s="68"/>
    </row>
    <row r="2038" spans="8:14" ht="15.75" thickBot="1" x14ac:dyDescent="0.3"/>
    <row r="2039" spans="8:14" ht="15.75" thickBot="1" x14ac:dyDescent="0.3">
      <c r="H2039" s="306" t="s">
        <v>87</v>
      </c>
      <c r="I2039" s="307"/>
      <c r="J2039" s="307"/>
      <c r="K2039" s="308"/>
      <c r="M2039" s="40" t="s">
        <v>89</v>
      </c>
    </row>
    <row r="2040" spans="8:14" ht="30.75" thickBot="1" x14ac:dyDescent="0.3">
      <c r="H2040" s="70" t="s">
        <v>62</v>
      </c>
      <c r="I2040" s="71" t="s">
        <v>90</v>
      </c>
      <c r="J2040" s="204" t="s">
        <v>91</v>
      </c>
      <c r="K2040" s="73" t="s">
        <v>92</v>
      </c>
    </row>
    <row r="2041" spans="8:14" x14ac:dyDescent="0.25">
      <c r="H2041" s="75">
        <v>719</v>
      </c>
      <c r="I2041" s="76">
        <f>+O2021+O2023+O2025+O2027+O2029</f>
        <v>770000</v>
      </c>
      <c r="J2041" s="77">
        <f>+K2004</f>
        <v>18290000</v>
      </c>
      <c r="K2041" s="79">
        <f>+I2041+J2041</f>
        <v>19060000</v>
      </c>
    </row>
    <row r="2042" spans="8:14" x14ac:dyDescent="0.25">
      <c r="H2042" s="80">
        <v>721</v>
      </c>
      <c r="I2042" s="81">
        <f>+O2022+O2024+O2026+O2028</f>
        <v>308000</v>
      </c>
      <c r="J2042" s="77">
        <f>+K2005</f>
        <v>83942059</v>
      </c>
      <c r="K2042" s="79">
        <f>+I2042+J2042</f>
        <v>84250059</v>
      </c>
    </row>
    <row r="2043" spans="8:14" x14ac:dyDescent="0.25">
      <c r="H2043" s="80">
        <v>722</v>
      </c>
      <c r="I2043" s="81"/>
      <c r="J2043" s="77">
        <f>+K2006</f>
        <v>0</v>
      </c>
      <c r="K2043" s="79">
        <f>+I2043+J2043</f>
        <v>0</v>
      </c>
    </row>
    <row r="2044" spans="8:14" ht="15.75" x14ac:dyDescent="0.25">
      <c r="H2044" s="80">
        <v>723</v>
      </c>
      <c r="I2044" s="81"/>
      <c r="J2044" s="77">
        <f>+K2007</f>
        <v>-17852437</v>
      </c>
      <c r="K2044" s="79">
        <f>+I2044+J2044</f>
        <v>-17852437</v>
      </c>
      <c r="M2044" s="109" t="s">
        <v>304</v>
      </c>
      <c r="N2044" s="84"/>
    </row>
    <row r="2045" spans="8:14" ht="16.5" thickBot="1" x14ac:dyDescent="0.3">
      <c r="H2045" s="85" t="s">
        <v>94</v>
      </c>
      <c r="I2045" s="86"/>
      <c r="J2045" s="77" t="e">
        <f>+K2008</f>
        <v>#REF!</v>
      </c>
      <c r="K2045" s="89" t="e">
        <f>+I2045+J2045</f>
        <v>#REF!</v>
      </c>
      <c r="M2045" s="45"/>
    </row>
    <row r="2046" spans="8:14" ht="16.5" thickBot="1" x14ac:dyDescent="0.3">
      <c r="H2046" s="90"/>
      <c r="I2046" s="94">
        <f>SUM(I2041:I2045)</f>
        <v>1078000</v>
      </c>
      <c r="J2046" s="94" t="e">
        <f>SUM(J2041:J2045)</f>
        <v>#REF!</v>
      </c>
      <c r="K2046" s="95" t="e">
        <f>SUM(K2041:K2045)</f>
        <v>#REF!</v>
      </c>
    </row>
    <row r="2047" spans="8:14" ht="16.5" x14ac:dyDescent="0.25">
      <c r="H2047" s="39" t="s">
        <v>46</v>
      </c>
      <c r="I2047" s="40"/>
    </row>
    <row r="2048" spans="8:14" x14ac:dyDescent="0.25">
      <c r="H2048" s="41" t="s">
        <v>47</v>
      </c>
    </row>
    <row r="2049" spans="8:15" x14ac:dyDescent="0.25">
      <c r="H2049" s="41" t="s">
        <v>48</v>
      </c>
    </row>
    <row r="2050" spans="8:15" x14ac:dyDescent="0.25">
      <c r="H2050" s="41" t="s">
        <v>49</v>
      </c>
    </row>
    <row r="2051" spans="8:15" ht="12.75" customHeight="1" x14ac:dyDescent="0.25">
      <c r="H2051" s="40"/>
      <c r="I2051" s="40"/>
    </row>
    <row r="2052" spans="8:15" ht="15.75" x14ac:dyDescent="0.25">
      <c r="H2052" s="188" t="s">
        <v>785</v>
      </c>
      <c r="N2052" s="45"/>
    </row>
    <row r="2053" spans="8:15" ht="15.75" x14ac:dyDescent="0.25">
      <c r="H2053" s="47" t="s">
        <v>704</v>
      </c>
      <c r="N2053" s="47"/>
    </row>
    <row r="2054" spans="8:15" ht="16.5" x14ac:dyDescent="0.25">
      <c r="H2054" s="326" t="s">
        <v>683</v>
      </c>
      <c r="I2054" s="326"/>
      <c r="J2054" s="326"/>
      <c r="K2054" s="326"/>
      <c r="L2054" s="326"/>
      <c r="M2054" s="326"/>
      <c r="N2054" s="326"/>
      <c r="O2054" s="326"/>
    </row>
    <row r="2055" spans="8:15" ht="15.75" thickBot="1" x14ac:dyDescent="0.3"/>
    <row r="2056" spans="8:15" x14ac:dyDescent="0.25">
      <c r="H2056" s="327" t="s">
        <v>56</v>
      </c>
      <c r="I2056" s="322" t="s">
        <v>57</v>
      </c>
      <c r="J2056" s="322" t="s">
        <v>58</v>
      </c>
      <c r="K2056" s="322" t="s">
        <v>7</v>
      </c>
      <c r="L2056" s="322" t="s">
        <v>59</v>
      </c>
      <c r="M2056" s="322" t="s">
        <v>60</v>
      </c>
      <c r="N2056" s="322" t="s">
        <v>61</v>
      </c>
      <c r="O2056" s="324"/>
    </row>
    <row r="2057" spans="8:15" ht="15.75" thickBot="1" x14ac:dyDescent="0.3">
      <c r="H2057" s="328"/>
      <c r="I2057" s="323"/>
      <c r="J2057" s="323"/>
      <c r="K2057" s="323"/>
      <c r="L2057" s="323"/>
      <c r="M2057" s="323"/>
      <c r="N2057" s="51" t="s">
        <v>62</v>
      </c>
      <c r="O2057" s="52" t="s">
        <v>63</v>
      </c>
    </row>
    <row r="2058" spans="8:15" ht="15" customHeight="1" x14ac:dyDescent="0.25">
      <c r="H2058" s="318">
        <v>226</v>
      </c>
      <c r="I2058" s="312">
        <v>42551</v>
      </c>
      <c r="J2058" s="314" t="s">
        <v>781</v>
      </c>
      <c r="K2058" s="316" t="s">
        <v>786</v>
      </c>
      <c r="L2058" s="318" t="s">
        <v>5</v>
      </c>
      <c r="M2058" s="320">
        <v>140000</v>
      </c>
      <c r="N2058" s="53">
        <v>719</v>
      </c>
      <c r="O2058" s="54">
        <v>100000</v>
      </c>
    </row>
    <row r="2059" spans="8:15" ht="15.75" customHeight="1" thickBot="1" x14ac:dyDescent="0.3">
      <c r="H2059" s="319"/>
      <c r="I2059" s="313"/>
      <c r="J2059" s="315"/>
      <c r="K2059" s="317"/>
      <c r="L2059" s="319"/>
      <c r="M2059" s="321"/>
      <c r="N2059" s="55">
        <v>721</v>
      </c>
      <c r="O2059" s="56">
        <f>+M2058-O2058</f>
        <v>40000</v>
      </c>
    </row>
    <row r="2060" spans="8:15" ht="15" customHeight="1" x14ac:dyDescent="0.25">
      <c r="H2060" s="318">
        <v>227</v>
      </c>
      <c r="I2060" s="312">
        <v>42551</v>
      </c>
      <c r="J2060" s="314" t="s">
        <v>70</v>
      </c>
      <c r="K2060" s="316" t="s">
        <v>787</v>
      </c>
      <c r="L2060" s="318" t="s">
        <v>5</v>
      </c>
      <c r="M2060" s="320">
        <v>966000</v>
      </c>
      <c r="N2060" s="53">
        <v>719</v>
      </c>
      <c r="O2060" s="54">
        <v>690000</v>
      </c>
    </row>
    <row r="2061" spans="8:15" ht="15.75" customHeight="1" thickBot="1" x14ac:dyDescent="0.3">
      <c r="H2061" s="319"/>
      <c r="I2061" s="313"/>
      <c r="J2061" s="315"/>
      <c r="K2061" s="317"/>
      <c r="L2061" s="319"/>
      <c r="M2061" s="321"/>
      <c r="N2061" s="55">
        <v>721</v>
      </c>
      <c r="O2061" s="56">
        <f>+M2060-O2060</f>
        <v>276000</v>
      </c>
    </row>
    <row r="2062" spans="8:15" ht="15" customHeight="1" x14ac:dyDescent="0.25">
      <c r="H2062" s="318">
        <v>228</v>
      </c>
      <c r="I2062" s="312">
        <v>42551</v>
      </c>
      <c r="J2062" s="314" t="s">
        <v>231</v>
      </c>
      <c r="K2062" s="316" t="s">
        <v>788</v>
      </c>
      <c r="L2062" s="318" t="s">
        <v>5</v>
      </c>
      <c r="M2062" s="320">
        <v>252000</v>
      </c>
      <c r="N2062" s="53">
        <v>719</v>
      </c>
      <c r="O2062" s="54">
        <v>180000</v>
      </c>
    </row>
    <row r="2063" spans="8:15" ht="15.75" customHeight="1" thickBot="1" x14ac:dyDescent="0.3">
      <c r="H2063" s="319"/>
      <c r="I2063" s="313"/>
      <c r="J2063" s="315"/>
      <c r="K2063" s="317"/>
      <c r="L2063" s="319"/>
      <c r="M2063" s="321"/>
      <c r="N2063" s="55">
        <v>721</v>
      </c>
      <c r="O2063" s="56">
        <f>+M2062-O2062</f>
        <v>72000</v>
      </c>
    </row>
    <row r="2064" spans="8:15" ht="15" customHeight="1" x14ac:dyDescent="0.25">
      <c r="H2064" s="318">
        <v>229</v>
      </c>
      <c r="I2064" s="312">
        <v>42551</v>
      </c>
      <c r="J2064" s="314" t="s">
        <v>297</v>
      </c>
      <c r="K2064" s="316" t="s">
        <v>789</v>
      </c>
      <c r="L2064" s="318" t="s">
        <v>5</v>
      </c>
      <c r="M2064" s="320">
        <v>1946000</v>
      </c>
      <c r="N2064" s="53">
        <v>719</v>
      </c>
      <c r="O2064" s="54">
        <v>1390000</v>
      </c>
    </row>
    <row r="2065" spans="8:15" ht="15.75" customHeight="1" thickBot="1" x14ac:dyDescent="0.3">
      <c r="H2065" s="319"/>
      <c r="I2065" s="313"/>
      <c r="J2065" s="315"/>
      <c r="K2065" s="317"/>
      <c r="L2065" s="319"/>
      <c r="M2065" s="321"/>
      <c r="N2065" s="55">
        <v>721</v>
      </c>
      <c r="O2065" s="56">
        <f>+M2064-O2064</f>
        <v>556000</v>
      </c>
    </row>
    <row r="2066" spans="8:15" x14ac:dyDescent="0.25">
      <c r="H2066" s="318"/>
      <c r="I2066" s="312"/>
      <c r="J2066" s="314"/>
      <c r="K2066" s="318"/>
      <c r="L2066" s="318"/>
      <c r="M2066" s="320"/>
      <c r="N2066" s="53">
        <v>719</v>
      </c>
      <c r="O2066" s="54"/>
    </row>
    <row r="2067" spans="8:15" ht="12" customHeight="1" thickBot="1" x14ac:dyDescent="0.3">
      <c r="H2067" s="319"/>
      <c r="I2067" s="313"/>
      <c r="J2067" s="315"/>
      <c r="K2067" s="319"/>
      <c r="L2067" s="319"/>
      <c r="M2067" s="321"/>
      <c r="N2067" s="55">
        <v>721</v>
      </c>
      <c r="O2067" s="56">
        <f>+M2066-O2066</f>
        <v>0</v>
      </c>
    </row>
    <row r="2068" spans="8:15" ht="16.5" thickBot="1" x14ac:dyDescent="0.3">
      <c r="H2068" s="297" t="s">
        <v>80</v>
      </c>
      <c r="I2068" s="298"/>
      <c r="J2068" s="298"/>
      <c r="K2068" s="298"/>
      <c r="L2068" s="299"/>
      <c r="M2068" s="62">
        <f>SUM(M2058:M2067)</f>
        <v>3304000</v>
      </c>
    </row>
    <row r="2069" spans="8:15" ht="16.5" thickBot="1" x14ac:dyDescent="0.3">
      <c r="H2069" s="300" t="s">
        <v>81</v>
      </c>
      <c r="I2069" s="301"/>
      <c r="J2069" s="301"/>
      <c r="K2069" s="301"/>
      <c r="L2069" s="302"/>
      <c r="M2069" s="63">
        <f>+M2033</f>
        <v>85527622</v>
      </c>
      <c r="N2069" s="64" t="s">
        <v>82</v>
      </c>
      <c r="O2069" s="65">
        <f>89+1849+70+3374</f>
        <v>5382</v>
      </c>
    </row>
    <row r="2070" spans="8:15" ht="16.5" thickBot="1" x14ac:dyDescent="0.3">
      <c r="H2070" s="303" t="s">
        <v>83</v>
      </c>
      <c r="I2070" s="304"/>
      <c r="J2070" s="304"/>
      <c r="K2070" s="304"/>
      <c r="L2070" s="305"/>
      <c r="M2070" s="66">
        <f>SUM(M2068:M2069)</f>
        <v>88831622</v>
      </c>
    </row>
    <row r="2071" spans="8:15" x14ac:dyDescent="0.25">
      <c r="H2071" s="67"/>
      <c r="I2071" s="67"/>
      <c r="J2071" s="67"/>
      <c r="K2071" s="67"/>
      <c r="L2071" s="67"/>
    </row>
    <row r="2072" spans="8:15" x14ac:dyDescent="0.25">
      <c r="H2072" s="41" t="s">
        <v>790</v>
      </c>
    </row>
    <row r="2073" spans="8:15" ht="12.75" customHeight="1" x14ac:dyDescent="0.25">
      <c r="M2073" s="68"/>
    </row>
    <row r="2074" spans="8:15" x14ac:dyDescent="0.25">
      <c r="H2074" s="40" t="s">
        <v>86</v>
      </c>
      <c r="K2074" s="69"/>
      <c r="M2074" s="68"/>
    </row>
    <row r="2075" spans="8:15" ht="15.75" thickBot="1" x14ac:dyDescent="0.3"/>
    <row r="2076" spans="8:15" ht="15.75" thickBot="1" x14ac:dyDescent="0.3">
      <c r="H2076" s="306" t="s">
        <v>87</v>
      </c>
      <c r="I2076" s="307"/>
      <c r="J2076" s="307"/>
      <c r="K2076" s="308"/>
      <c r="M2076" s="40" t="s">
        <v>89</v>
      </c>
    </row>
    <row r="2077" spans="8:15" ht="30.75" thickBot="1" x14ac:dyDescent="0.3">
      <c r="H2077" s="70" t="s">
        <v>62</v>
      </c>
      <c r="I2077" s="71" t="s">
        <v>90</v>
      </c>
      <c r="J2077" s="204" t="s">
        <v>91</v>
      </c>
      <c r="K2077" s="73" t="s">
        <v>92</v>
      </c>
    </row>
    <row r="2078" spans="8:15" x14ac:dyDescent="0.25">
      <c r="H2078" s="75">
        <v>719</v>
      </c>
      <c r="I2078" s="76">
        <f>+O2058+O2060+O2062+O2064+O2066</f>
        <v>2360000</v>
      </c>
      <c r="J2078" s="77">
        <f>+K2041</f>
        <v>19060000</v>
      </c>
      <c r="K2078" s="79">
        <f>+I2078+J2078</f>
        <v>21420000</v>
      </c>
    </row>
    <row r="2079" spans="8:15" x14ac:dyDescent="0.25">
      <c r="H2079" s="80">
        <v>721</v>
      </c>
      <c r="I2079" s="81">
        <f>+O2059+O2061+O2063+O2065</f>
        <v>944000</v>
      </c>
      <c r="J2079" s="77">
        <f>+K2042</f>
        <v>84250059</v>
      </c>
      <c r="K2079" s="79">
        <f>+I2079+J2079</f>
        <v>85194059</v>
      </c>
    </row>
    <row r="2080" spans="8:15" x14ac:dyDescent="0.25">
      <c r="H2080" s="80">
        <v>722</v>
      </c>
      <c r="I2080" s="81"/>
      <c r="J2080" s="77">
        <f>+K2043</f>
        <v>0</v>
      </c>
      <c r="K2080" s="79">
        <f>+I2080+J2080</f>
        <v>0</v>
      </c>
    </row>
    <row r="2081" spans="8:15" ht="15.75" x14ac:dyDescent="0.25">
      <c r="H2081" s="80">
        <v>723</v>
      </c>
      <c r="I2081" s="81"/>
      <c r="J2081" s="77">
        <f>+K2044</f>
        <v>-17852437</v>
      </c>
      <c r="K2081" s="79">
        <f>+I2081+J2081</f>
        <v>-17852437</v>
      </c>
      <c r="M2081" s="109" t="s">
        <v>304</v>
      </c>
      <c r="N2081" s="84"/>
    </row>
    <row r="2082" spans="8:15" ht="16.5" thickBot="1" x14ac:dyDescent="0.3">
      <c r="H2082" s="85" t="s">
        <v>94</v>
      </c>
      <c r="I2082" s="86"/>
      <c r="J2082" s="77" t="e">
        <f>+K2045</f>
        <v>#REF!</v>
      </c>
      <c r="K2082" s="89" t="e">
        <f>+I2082+J2082</f>
        <v>#REF!</v>
      </c>
      <c r="M2082" s="45"/>
    </row>
    <row r="2083" spans="8:15" ht="16.5" thickBot="1" x14ac:dyDescent="0.3">
      <c r="H2083" s="90"/>
      <c r="I2083" s="94">
        <f>SUM(I2078:I2082)</f>
        <v>3304000</v>
      </c>
      <c r="J2083" s="94" t="e">
        <f>SUM(J2078:J2082)</f>
        <v>#REF!</v>
      </c>
      <c r="K2083" s="95" t="e">
        <f>SUM(K2078:K2082)</f>
        <v>#REF!</v>
      </c>
    </row>
    <row r="2084" spans="8:15" ht="16.5" x14ac:dyDescent="0.25">
      <c r="H2084" s="39" t="s">
        <v>46</v>
      </c>
      <c r="I2084" s="40"/>
    </row>
    <row r="2085" spans="8:15" x14ac:dyDescent="0.25">
      <c r="H2085" s="41" t="s">
        <v>47</v>
      </c>
    </row>
    <row r="2086" spans="8:15" x14ac:dyDescent="0.25">
      <c r="H2086" s="41" t="s">
        <v>48</v>
      </c>
    </row>
    <row r="2087" spans="8:15" x14ac:dyDescent="0.25">
      <c r="H2087" s="41" t="s">
        <v>49</v>
      </c>
    </row>
    <row r="2088" spans="8:15" ht="12.75" customHeight="1" x14ac:dyDescent="0.25">
      <c r="H2088" s="40"/>
      <c r="I2088" s="40"/>
    </row>
    <row r="2089" spans="8:15" ht="15.75" x14ac:dyDescent="0.25">
      <c r="H2089" s="188" t="s">
        <v>791</v>
      </c>
      <c r="N2089" s="45"/>
    </row>
    <row r="2090" spans="8:15" ht="15.75" x14ac:dyDescent="0.25">
      <c r="H2090" s="47" t="s">
        <v>704</v>
      </c>
      <c r="N2090" s="47"/>
    </row>
    <row r="2091" spans="8:15" ht="16.5" x14ac:dyDescent="0.25">
      <c r="H2091" s="326" t="s">
        <v>792</v>
      </c>
      <c r="I2091" s="326"/>
      <c r="J2091" s="326"/>
      <c r="K2091" s="326"/>
      <c r="L2091" s="326"/>
      <c r="M2091" s="326"/>
      <c r="N2091" s="326"/>
      <c r="O2091" s="326"/>
    </row>
    <row r="2092" spans="8:15" ht="15.75" thickBot="1" x14ac:dyDescent="0.3"/>
    <row r="2093" spans="8:15" x14ac:dyDescent="0.25">
      <c r="H2093" s="327" t="s">
        <v>56</v>
      </c>
      <c r="I2093" s="322" t="s">
        <v>57</v>
      </c>
      <c r="J2093" s="322" t="s">
        <v>58</v>
      </c>
      <c r="K2093" s="322" t="s">
        <v>7</v>
      </c>
      <c r="L2093" s="322" t="s">
        <v>59</v>
      </c>
      <c r="M2093" s="322" t="s">
        <v>60</v>
      </c>
      <c r="N2093" s="322" t="s">
        <v>61</v>
      </c>
      <c r="O2093" s="324"/>
    </row>
    <row r="2094" spans="8:15" ht="15.75" thickBot="1" x14ac:dyDescent="0.3">
      <c r="H2094" s="328"/>
      <c r="I2094" s="323"/>
      <c r="J2094" s="323"/>
      <c r="K2094" s="323"/>
      <c r="L2094" s="323"/>
      <c r="M2094" s="323"/>
      <c r="N2094" s="51" t="s">
        <v>62</v>
      </c>
      <c r="O2094" s="52" t="s">
        <v>63</v>
      </c>
    </row>
    <row r="2095" spans="8:15" x14ac:dyDescent="0.25">
      <c r="H2095" s="318">
        <v>230</v>
      </c>
      <c r="I2095" s="312">
        <v>42551</v>
      </c>
      <c r="J2095" s="314" t="s">
        <v>793</v>
      </c>
      <c r="K2095" s="316" t="s">
        <v>794</v>
      </c>
      <c r="L2095" s="318" t="s">
        <v>186</v>
      </c>
      <c r="M2095" s="320">
        <v>100000</v>
      </c>
      <c r="N2095" s="53">
        <v>719</v>
      </c>
      <c r="O2095" s="54">
        <v>0</v>
      </c>
    </row>
    <row r="2096" spans="8:15" ht="15.75" thickBot="1" x14ac:dyDescent="0.3">
      <c r="H2096" s="319"/>
      <c r="I2096" s="313"/>
      <c r="J2096" s="315"/>
      <c r="K2096" s="317"/>
      <c r="L2096" s="319"/>
      <c r="M2096" s="321"/>
      <c r="N2096" s="55">
        <v>721</v>
      </c>
      <c r="O2096" s="56">
        <v>100000</v>
      </c>
    </row>
    <row r="2097" spans="8:15" ht="15" customHeight="1" x14ac:dyDescent="0.25">
      <c r="H2097" s="318">
        <v>231</v>
      </c>
      <c r="I2097" s="312">
        <v>42551</v>
      </c>
      <c r="J2097" s="314" t="s">
        <v>795</v>
      </c>
      <c r="K2097" s="316" t="s">
        <v>794</v>
      </c>
      <c r="L2097" s="318" t="s">
        <v>186</v>
      </c>
      <c r="M2097" s="320">
        <v>100000</v>
      </c>
      <c r="N2097" s="53">
        <v>719</v>
      </c>
      <c r="O2097" s="54">
        <v>0</v>
      </c>
    </row>
    <row r="2098" spans="8:15" ht="15.75" customHeight="1" thickBot="1" x14ac:dyDescent="0.3">
      <c r="H2098" s="319"/>
      <c r="I2098" s="313"/>
      <c r="J2098" s="315"/>
      <c r="K2098" s="317"/>
      <c r="L2098" s="319"/>
      <c r="M2098" s="321"/>
      <c r="N2098" s="55">
        <v>721</v>
      </c>
      <c r="O2098" s="56">
        <v>100000</v>
      </c>
    </row>
    <row r="2099" spans="8:15" x14ac:dyDescent="0.25">
      <c r="H2099" s="318"/>
      <c r="I2099" s="312"/>
      <c r="J2099" s="314"/>
      <c r="K2099" s="316"/>
      <c r="L2099" s="318"/>
      <c r="M2099" s="320"/>
      <c r="N2099" s="53">
        <v>719</v>
      </c>
      <c r="O2099" s="54">
        <v>0</v>
      </c>
    </row>
    <row r="2100" spans="8:15" ht="14.25" customHeight="1" thickBot="1" x14ac:dyDescent="0.3">
      <c r="H2100" s="319"/>
      <c r="I2100" s="313"/>
      <c r="J2100" s="315"/>
      <c r="K2100" s="317"/>
      <c r="L2100" s="319"/>
      <c r="M2100" s="321"/>
      <c r="N2100" s="55">
        <v>721</v>
      </c>
      <c r="O2100" s="56">
        <f>+M2099-O2099</f>
        <v>0</v>
      </c>
    </row>
    <row r="2101" spans="8:15" ht="15" customHeight="1" x14ac:dyDescent="0.25">
      <c r="H2101" s="318"/>
      <c r="I2101" s="312"/>
      <c r="J2101" s="314"/>
      <c r="K2101" s="316"/>
      <c r="L2101" s="318"/>
      <c r="M2101" s="320"/>
      <c r="N2101" s="53">
        <v>719</v>
      </c>
      <c r="O2101" s="54">
        <v>0</v>
      </c>
    </row>
    <row r="2102" spans="8:15" ht="15.75" customHeight="1" thickBot="1" x14ac:dyDescent="0.3">
      <c r="H2102" s="319"/>
      <c r="I2102" s="313"/>
      <c r="J2102" s="315"/>
      <c r="K2102" s="317"/>
      <c r="L2102" s="319"/>
      <c r="M2102" s="321"/>
      <c r="N2102" s="55">
        <v>721</v>
      </c>
      <c r="O2102" s="56">
        <f>+M2101-O2101</f>
        <v>0</v>
      </c>
    </row>
    <row r="2103" spans="8:15" ht="10.5" customHeight="1" x14ac:dyDescent="0.25">
      <c r="H2103" s="318"/>
      <c r="I2103" s="312"/>
      <c r="J2103" s="314"/>
      <c r="K2103" s="318"/>
      <c r="L2103" s="318"/>
      <c r="M2103" s="320"/>
      <c r="N2103" s="53">
        <v>719</v>
      </c>
      <c r="O2103" s="54"/>
    </row>
    <row r="2104" spans="8:15" ht="14.25" customHeight="1" thickBot="1" x14ac:dyDescent="0.3">
      <c r="H2104" s="319"/>
      <c r="I2104" s="313"/>
      <c r="J2104" s="315"/>
      <c r="K2104" s="319"/>
      <c r="L2104" s="319"/>
      <c r="M2104" s="321"/>
      <c r="N2104" s="55">
        <v>721</v>
      </c>
      <c r="O2104" s="56">
        <f>+M2103-O2103</f>
        <v>0</v>
      </c>
    </row>
    <row r="2105" spans="8:15" ht="16.5" customHeight="1" thickBot="1" x14ac:dyDescent="0.3">
      <c r="H2105" s="297" t="s">
        <v>80</v>
      </c>
      <c r="I2105" s="298"/>
      <c r="J2105" s="298"/>
      <c r="K2105" s="298"/>
      <c r="L2105" s="299"/>
      <c r="M2105" s="62">
        <f>SUM(M2095:M2104)</f>
        <v>200000</v>
      </c>
    </row>
    <row r="2106" spans="8:15" ht="16.5" customHeight="1" thickBot="1" x14ac:dyDescent="0.3">
      <c r="H2106" s="300" t="s">
        <v>81</v>
      </c>
      <c r="I2106" s="301"/>
      <c r="J2106" s="301"/>
      <c r="K2106" s="301"/>
      <c r="L2106" s="302"/>
      <c r="M2106" s="63">
        <f>+M2070</f>
        <v>88831622</v>
      </c>
      <c r="N2106" s="64" t="s">
        <v>82</v>
      </c>
      <c r="O2106" s="65"/>
    </row>
    <row r="2107" spans="8:15" ht="16.5" customHeight="1" thickBot="1" x14ac:dyDescent="0.3">
      <c r="H2107" s="303" t="s">
        <v>83</v>
      </c>
      <c r="I2107" s="304"/>
      <c r="J2107" s="304"/>
      <c r="K2107" s="304"/>
      <c r="L2107" s="305"/>
      <c r="M2107" s="66">
        <f>SUM(M2105:M2106)</f>
        <v>89031622</v>
      </c>
    </row>
    <row r="2108" spans="8:15" ht="15.75" customHeight="1" x14ac:dyDescent="0.25">
      <c r="H2108" s="67"/>
      <c r="I2108" s="67"/>
      <c r="J2108" s="67"/>
      <c r="K2108" s="67"/>
      <c r="L2108" s="67"/>
    </row>
    <row r="2109" spans="8:15" ht="15" customHeight="1" x14ac:dyDescent="0.25">
      <c r="H2109" s="41" t="s">
        <v>796</v>
      </c>
    </row>
    <row r="2110" spans="8:15" ht="14.25" customHeight="1" x14ac:dyDescent="0.25">
      <c r="M2110" s="68"/>
    </row>
    <row r="2111" spans="8:15" x14ac:dyDescent="0.25">
      <c r="H2111" s="40" t="s">
        <v>86</v>
      </c>
      <c r="K2111" s="69"/>
      <c r="M2111" s="68"/>
    </row>
    <row r="2112" spans="8:15" ht="14.25" customHeight="1" thickBot="1" x14ac:dyDescent="0.3"/>
    <row r="2113" spans="8:15" ht="15.75" thickBot="1" x14ac:dyDescent="0.3">
      <c r="H2113" s="306" t="s">
        <v>87</v>
      </c>
      <c r="I2113" s="307"/>
      <c r="J2113" s="307"/>
      <c r="K2113" s="308"/>
      <c r="M2113" s="40" t="s">
        <v>89</v>
      </c>
    </row>
    <row r="2114" spans="8:15" ht="30.75" thickBot="1" x14ac:dyDescent="0.3">
      <c r="H2114" s="70" t="s">
        <v>62</v>
      </c>
      <c r="I2114" s="71" t="s">
        <v>90</v>
      </c>
      <c r="J2114" s="204" t="s">
        <v>91</v>
      </c>
      <c r="K2114" s="73" t="s">
        <v>92</v>
      </c>
    </row>
    <row r="2115" spans="8:15" x14ac:dyDescent="0.25">
      <c r="H2115" s="75">
        <v>719</v>
      </c>
      <c r="I2115" s="76">
        <f>+O2095+O2097+O2099+O2101+O2103</f>
        <v>0</v>
      </c>
      <c r="J2115" s="77">
        <f>+K2078</f>
        <v>21420000</v>
      </c>
      <c r="K2115" s="79">
        <f>+I2115+J2115</f>
        <v>21420000</v>
      </c>
    </row>
    <row r="2116" spans="8:15" x14ac:dyDescent="0.25">
      <c r="H2116" s="80">
        <v>721</v>
      </c>
      <c r="I2116" s="81">
        <f>+O2096+O2098+O2100+O2102</f>
        <v>200000</v>
      </c>
      <c r="J2116" s="77">
        <f>+K2079</f>
        <v>85194059</v>
      </c>
      <c r="K2116" s="79">
        <f>+I2116+J2116</f>
        <v>85394059</v>
      </c>
    </row>
    <row r="2117" spans="8:15" x14ac:dyDescent="0.25">
      <c r="H2117" s="80">
        <v>722</v>
      </c>
      <c r="I2117" s="81"/>
      <c r="J2117" s="77">
        <f>+K2080</f>
        <v>0</v>
      </c>
      <c r="K2117" s="79">
        <f>+I2117+J2117</f>
        <v>0</v>
      </c>
    </row>
    <row r="2118" spans="8:15" ht="15.75" x14ac:dyDescent="0.25">
      <c r="H2118" s="80">
        <v>723</v>
      </c>
      <c r="I2118" s="81"/>
      <c r="J2118" s="77">
        <f>+K2081</f>
        <v>-17852437</v>
      </c>
      <c r="K2118" s="79">
        <f>+I2118+J2118</f>
        <v>-17852437</v>
      </c>
      <c r="M2118" s="109" t="s">
        <v>304</v>
      </c>
      <c r="N2118" s="84"/>
    </row>
    <row r="2119" spans="8:15" ht="16.5" thickBot="1" x14ac:dyDescent="0.3">
      <c r="H2119" s="85" t="s">
        <v>94</v>
      </c>
      <c r="I2119" s="86"/>
      <c r="J2119" s="77" t="e">
        <f>+K2082</f>
        <v>#REF!</v>
      </c>
      <c r="K2119" s="89" t="e">
        <f>+I2119+J2119</f>
        <v>#REF!</v>
      </c>
      <c r="M2119" s="45"/>
    </row>
    <row r="2120" spans="8:15" ht="16.5" thickBot="1" x14ac:dyDescent="0.3">
      <c r="H2120" s="90"/>
      <c r="I2120" s="94">
        <f>SUM(I2115:I2119)</f>
        <v>200000</v>
      </c>
      <c r="J2120" s="94" t="e">
        <f>SUM(J2115:J2119)</f>
        <v>#REF!</v>
      </c>
      <c r="K2120" s="95" t="e">
        <f>SUM(K2115:K2119)</f>
        <v>#REF!</v>
      </c>
    </row>
    <row r="2121" spans="8:15" ht="16.5" x14ac:dyDescent="0.25">
      <c r="H2121" s="39" t="s">
        <v>46</v>
      </c>
      <c r="I2121" s="40"/>
    </row>
    <row r="2122" spans="8:15" x14ac:dyDescent="0.25">
      <c r="H2122" s="41" t="s">
        <v>47</v>
      </c>
    </row>
    <row r="2123" spans="8:15" x14ac:dyDescent="0.25">
      <c r="H2123" s="41" t="s">
        <v>48</v>
      </c>
    </row>
    <row r="2124" spans="8:15" x14ac:dyDescent="0.25">
      <c r="H2124" s="41" t="s">
        <v>49</v>
      </c>
    </row>
    <row r="2125" spans="8:15" x14ac:dyDescent="0.25">
      <c r="H2125" s="40"/>
      <c r="I2125" s="40"/>
    </row>
    <row r="2126" spans="8:15" ht="15.75" x14ac:dyDescent="0.25">
      <c r="H2126" s="188" t="s">
        <v>797</v>
      </c>
      <c r="N2126" s="45"/>
    </row>
    <row r="2127" spans="8:15" ht="15.75" x14ac:dyDescent="0.25">
      <c r="H2127" s="47" t="s">
        <v>704</v>
      </c>
      <c r="N2127" s="47"/>
    </row>
    <row r="2128" spans="8:15" ht="16.5" x14ac:dyDescent="0.25">
      <c r="H2128" s="326" t="s">
        <v>792</v>
      </c>
      <c r="I2128" s="326"/>
      <c r="J2128" s="326"/>
      <c r="K2128" s="326"/>
      <c r="L2128" s="326"/>
      <c r="M2128" s="326"/>
      <c r="N2128" s="326"/>
      <c r="O2128" s="326"/>
    </row>
    <row r="2129" spans="8:17" ht="15.75" thickBot="1" x14ac:dyDescent="0.3"/>
    <row r="2130" spans="8:17" x14ac:dyDescent="0.25">
      <c r="H2130" s="327" t="s">
        <v>56</v>
      </c>
      <c r="I2130" s="322" t="s">
        <v>57</v>
      </c>
      <c r="J2130" s="322" t="s">
        <v>58</v>
      </c>
      <c r="K2130" s="322" t="s">
        <v>7</v>
      </c>
      <c r="L2130" s="322" t="s">
        <v>59</v>
      </c>
      <c r="M2130" s="322" t="s">
        <v>60</v>
      </c>
      <c r="N2130" s="322" t="s">
        <v>61</v>
      </c>
      <c r="O2130" s="324"/>
    </row>
    <row r="2131" spans="8:17" ht="15.75" thickBot="1" x14ac:dyDescent="0.3">
      <c r="H2131" s="328"/>
      <c r="I2131" s="323"/>
      <c r="J2131" s="323"/>
      <c r="K2131" s="323"/>
      <c r="L2131" s="323"/>
      <c r="M2131" s="323"/>
      <c r="N2131" s="51" t="s">
        <v>62</v>
      </c>
      <c r="O2131" s="52" t="s">
        <v>63</v>
      </c>
      <c r="Q2131" s="41" t="s">
        <v>275</v>
      </c>
    </row>
    <row r="2132" spans="8:17" x14ac:dyDescent="0.25">
      <c r="H2132" s="318">
        <v>232</v>
      </c>
      <c r="I2132" s="312">
        <v>42556</v>
      </c>
      <c r="J2132" s="314" t="s">
        <v>798</v>
      </c>
      <c r="K2132" s="316" t="s">
        <v>794</v>
      </c>
      <c r="L2132" s="318" t="s">
        <v>66</v>
      </c>
      <c r="M2132" s="320">
        <v>50000</v>
      </c>
      <c r="N2132" s="53">
        <v>719</v>
      </c>
      <c r="O2132" s="54">
        <v>50000</v>
      </c>
    </row>
    <row r="2133" spans="8:17" ht="15.75" thickBot="1" x14ac:dyDescent="0.3">
      <c r="H2133" s="319"/>
      <c r="I2133" s="313"/>
      <c r="J2133" s="315"/>
      <c r="K2133" s="317"/>
      <c r="L2133" s="319"/>
      <c r="M2133" s="321"/>
      <c r="N2133" s="55">
        <v>721</v>
      </c>
      <c r="O2133" s="56"/>
    </row>
    <row r="2134" spans="8:17" x14ac:dyDescent="0.25">
      <c r="H2134" s="318">
        <v>233</v>
      </c>
      <c r="I2134" s="312">
        <v>42556</v>
      </c>
      <c r="J2134" s="314" t="s">
        <v>251</v>
      </c>
      <c r="K2134" s="316" t="s">
        <v>799</v>
      </c>
      <c r="L2134" s="318" t="s">
        <v>66</v>
      </c>
      <c r="M2134" s="320">
        <v>10000</v>
      </c>
      <c r="N2134" s="53">
        <v>719</v>
      </c>
      <c r="O2134" s="54">
        <v>10000</v>
      </c>
    </row>
    <row r="2135" spans="8:17" ht="15.75" thickBot="1" x14ac:dyDescent="0.3">
      <c r="H2135" s="319"/>
      <c r="I2135" s="313"/>
      <c r="J2135" s="315"/>
      <c r="K2135" s="317"/>
      <c r="L2135" s="319"/>
      <c r="M2135" s="321"/>
      <c r="N2135" s="55">
        <v>721</v>
      </c>
      <c r="O2135" s="56"/>
    </row>
    <row r="2136" spans="8:17" x14ac:dyDescent="0.25">
      <c r="H2136" s="318"/>
      <c r="I2136" s="312"/>
      <c r="J2136" s="314"/>
      <c r="K2136" s="316"/>
      <c r="L2136" s="318"/>
      <c r="M2136" s="320"/>
      <c r="N2136" s="53">
        <v>719</v>
      </c>
      <c r="O2136" s="54">
        <v>0</v>
      </c>
    </row>
    <row r="2137" spans="8:17" ht="12.75" customHeight="1" thickBot="1" x14ac:dyDescent="0.3">
      <c r="H2137" s="319"/>
      <c r="I2137" s="313"/>
      <c r="J2137" s="315"/>
      <c r="K2137" s="317"/>
      <c r="L2137" s="319"/>
      <c r="M2137" s="321"/>
      <c r="N2137" s="55">
        <v>721</v>
      </c>
      <c r="O2137" s="56">
        <f>+M2136-O2136</f>
        <v>0</v>
      </c>
    </row>
    <row r="2138" spans="8:17" x14ac:dyDescent="0.25">
      <c r="H2138" s="318"/>
      <c r="I2138" s="312"/>
      <c r="J2138" s="314"/>
      <c r="K2138" s="316"/>
      <c r="L2138" s="318"/>
      <c r="M2138" s="320"/>
      <c r="N2138" s="53">
        <v>719</v>
      </c>
      <c r="O2138" s="54">
        <v>0</v>
      </c>
    </row>
    <row r="2139" spans="8:17" ht="12.75" customHeight="1" thickBot="1" x14ac:dyDescent="0.3">
      <c r="H2139" s="319"/>
      <c r="I2139" s="313"/>
      <c r="J2139" s="315"/>
      <c r="K2139" s="317"/>
      <c r="L2139" s="319"/>
      <c r="M2139" s="321"/>
      <c r="N2139" s="55">
        <v>721</v>
      </c>
      <c r="O2139" s="56">
        <f>+M2138-O2138</f>
        <v>0</v>
      </c>
    </row>
    <row r="2140" spans="8:17" x14ac:dyDescent="0.25">
      <c r="H2140" s="318"/>
      <c r="I2140" s="312"/>
      <c r="J2140" s="314"/>
      <c r="K2140" s="318"/>
      <c r="L2140" s="318"/>
      <c r="M2140" s="320"/>
      <c r="N2140" s="53">
        <v>719</v>
      </c>
      <c r="O2140" s="54"/>
    </row>
    <row r="2141" spans="8:17" ht="12.75" customHeight="1" thickBot="1" x14ac:dyDescent="0.3">
      <c r="H2141" s="319"/>
      <c r="I2141" s="313"/>
      <c r="J2141" s="315"/>
      <c r="K2141" s="319"/>
      <c r="L2141" s="319"/>
      <c r="M2141" s="321"/>
      <c r="N2141" s="55">
        <v>721</v>
      </c>
      <c r="O2141" s="56">
        <f>+M2140-O2140</f>
        <v>0</v>
      </c>
    </row>
    <row r="2142" spans="8:17" ht="16.5" thickBot="1" x14ac:dyDescent="0.3">
      <c r="H2142" s="297" t="s">
        <v>80</v>
      </c>
      <c r="I2142" s="298"/>
      <c r="J2142" s="298"/>
      <c r="K2142" s="298"/>
      <c r="L2142" s="299"/>
      <c r="M2142" s="62">
        <f>SUM(M2132:M2141)</f>
        <v>60000</v>
      </c>
    </row>
    <row r="2143" spans="8:17" ht="16.5" thickBot="1" x14ac:dyDescent="0.3">
      <c r="H2143" s="300" t="s">
        <v>81</v>
      </c>
      <c r="I2143" s="301"/>
      <c r="J2143" s="301"/>
      <c r="K2143" s="301"/>
      <c r="L2143" s="302"/>
      <c r="M2143" s="63">
        <f>+M2107</f>
        <v>89031622</v>
      </c>
      <c r="N2143" s="64" t="s">
        <v>82</v>
      </c>
      <c r="O2143" s="65">
        <v>161</v>
      </c>
    </row>
    <row r="2144" spans="8:17" ht="16.5" thickBot="1" x14ac:dyDescent="0.3">
      <c r="H2144" s="303" t="s">
        <v>83</v>
      </c>
      <c r="I2144" s="304"/>
      <c r="J2144" s="304"/>
      <c r="K2144" s="304"/>
      <c r="L2144" s="305"/>
      <c r="M2144" s="66">
        <f>SUM(M2142:M2143)</f>
        <v>89091622</v>
      </c>
    </row>
    <row r="2145" spans="8:14" x14ac:dyDescent="0.25">
      <c r="H2145" s="67"/>
      <c r="I2145" s="67"/>
      <c r="J2145" s="67"/>
      <c r="K2145" s="67"/>
      <c r="L2145" s="67"/>
    </row>
    <row r="2146" spans="8:14" x14ac:dyDescent="0.25">
      <c r="H2146" s="41" t="s">
        <v>800</v>
      </c>
    </row>
    <row r="2147" spans="8:14" x14ac:dyDescent="0.25">
      <c r="M2147" s="68"/>
    </row>
    <row r="2148" spans="8:14" x14ac:dyDescent="0.25">
      <c r="H2148" s="40" t="s">
        <v>86</v>
      </c>
      <c r="K2148" s="69"/>
      <c r="M2148" s="68"/>
    </row>
    <row r="2149" spans="8:14" ht="15.75" thickBot="1" x14ac:dyDescent="0.3"/>
    <row r="2150" spans="8:14" ht="15.75" thickBot="1" x14ac:dyDescent="0.3">
      <c r="H2150" s="306" t="s">
        <v>87</v>
      </c>
      <c r="I2150" s="307"/>
      <c r="J2150" s="307"/>
      <c r="K2150" s="308"/>
      <c r="M2150" s="40" t="s">
        <v>89</v>
      </c>
    </row>
    <row r="2151" spans="8:14" ht="30.75" thickBot="1" x14ac:dyDescent="0.3">
      <c r="H2151" s="70" t="s">
        <v>62</v>
      </c>
      <c r="I2151" s="71" t="s">
        <v>90</v>
      </c>
      <c r="J2151" s="204" t="s">
        <v>91</v>
      </c>
      <c r="K2151" s="73" t="s">
        <v>92</v>
      </c>
    </row>
    <row r="2152" spans="8:14" x14ac:dyDescent="0.25">
      <c r="H2152" s="75">
        <v>719</v>
      </c>
      <c r="I2152" s="76">
        <f>+O2132+O2134+O2136+O2138+O2140</f>
        <v>60000</v>
      </c>
      <c r="J2152" s="77">
        <f>+K2115</f>
        <v>21420000</v>
      </c>
      <c r="K2152" s="79">
        <f>+I2152+J2152</f>
        <v>21480000</v>
      </c>
    </row>
    <row r="2153" spans="8:14" x14ac:dyDescent="0.25">
      <c r="H2153" s="80">
        <v>721</v>
      </c>
      <c r="I2153" s="81">
        <f>+O2133+O2135+O2137+O2139</f>
        <v>0</v>
      </c>
      <c r="J2153" s="77">
        <f>+K2116</f>
        <v>85394059</v>
      </c>
      <c r="K2153" s="79">
        <f>+I2153+J2153</f>
        <v>85394059</v>
      </c>
    </row>
    <row r="2154" spans="8:14" x14ac:dyDescent="0.25">
      <c r="H2154" s="80">
        <v>722</v>
      </c>
      <c r="I2154" s="81"/>
      <c r="J2154" s="77">
        <f>+K2117</f>
        <v>0</v>
      </c>
      <c r="K2154" s="79">
        <f>+I2154+J2154</f>
        <v>0</v>
      </c>
    </row>
    <row r="2155" spans="8:14" ht="15.75" x14ac:dyDescent="0.25">
      <c r="H2155" s="80">
        <v>723</v>
      </c>
      <c r="I2155" s="81"/>
      <c r="J2155" s="77">
        <f>+K2118</f>
        <v>-17852437</v>
      </c>
      <c r="K2155" s="79">
        <f>+I2155+J2155</f>
        <v>-17852437</v>
      </c>
      <c r="M2155" s="109" t="s">
        <v>304</v>
      </c>
      <c r="N2155" s="84"/>
    </row>
    <row r="2156" spans="8:14" ht="16.5" thickBot="1" x14ac:dyDescent="0.3">
      <c r="H2156" s="85" t="s">
        <v>94</v>
      </c>
      <c r="I2156" s="86"/>
      <c r="J2156" s="77" t="e">
        <f>+K2119</f>
        <v>#REF!</v>
      </c>
      <c r="K2156" s="89" t="e">
        <f>+I2156+J2156</f>
        <v>#REF!</v>
      </c>
      <c r="M2156" s="45"/>
    </row>
    <row r="2157" spans="8:14" ht="16.5" thickBot="1" x14ac:dyDescent="0.3">
      <c r="H2157" s="90"/>
      <c r="I2157" s="94">
        <f>SUM(I2152:I2156)</f>
        <v>60000</v>
      </c>
      <c r="J2157" s="94" t="e">
        <f>SUM(J2152:J2156)</f>
        <v>#REF!</v>
      </c>
      <c r="K2157" s="95" t="e">
        <f>SUM(K2152:K2156)</f>
        <v>#REF!</v>
      </c>
    </row>
    <row r="2158" spans="8:14" ht="16.5" x14ac:dyDescent="0.25">
      <c r="H2158" s="39" t="s">
        <v>46</v>
      </c>
      <c r="I2158" s="40"/>
    </row>
    <row r="2159" spans="8:14" x14ac:dyDescent="0.25">
      <c r="H2159" s="41" t="s">
        <v>47</v>
      </c>
    </row>
    <row r="2160" spans="8:14" x14ac:dyDescent="0.25">
      <c r="H2160" s="41" t="s">
        <v>48</v>
      </c>
    </row>
    <row r="2161" spans="8:15" x14ac:dyDescent="0.25">
      <c r="H2161" s="41" t="s">
        <v>49</v>
      </c>
    </row>
    <row r="2162" spans="8:15" ht="10.5" customHeight="1" x14ac:dyDescent="0.25">
      <c r="H2162" s="40"/>
      <c r="I2162" s="40"/>
    </row>
    <row r="2163" spans="8:15" ht="15.75" x14ac:dyDescent="0.25">
      <c r="H2163" s="188" t="s">
        <v>801</v>
      </c>
      <c r="N2163" s="45"/>
    </row>
    <row r="2164" spans="8:15" ht="15.75" x14ac:dyDescent="0.25">
      <c r="H2164" s="47" t="s">
        <v>704</v>
      </c>
      <c r="N2164" s="47"/>
    </row>
    <row r="2165" spans="8:15" ht="15.75" customHeight="1" x14ac:dyDescent="0.25">
      <c r="H2165" s="326" t="s">
        <v>683</v>
      </c>
      <c r="I2165" s="326"/>
      <c r="J2165" s="326"/>
      <c r="K2165" s="326"/>
      <c r="L2165" s="326"/>
      <c r="M2165" s="326"/>
      <c r="N2165" s="326"/>
      <c r="O2165" s="326"/>
    </row>
    <row r="2166" spans="8:15" ht="12.75" customHeight="1" thickBot="1" x14ac:dyDescent="0.3"/>
    <row r="2167" spans="8:15" x14ac:dyDescent="0.25">
      <c r="H2167" s="327" t="s">
        <v>56</v>
      </c>
      <c r="I2167" s="322" t="s">
        <v>57</v>
      </c>
      <c r="J2167" s="322" t="s">
        <v>58</v>
      </c>
      <c r="K2167" s="322" t="s">
        <v>7</v>
      </c>
      <c r="L2167" s="322" t="s">
        <v>59</v>
      </c>
      <c r="M2167" s="322" t="s">
        <v>60</v>
      </c>
      <c r="N2167" s="322" t="s">
        <v>61</v>
      </c>
      <c r="O2167" s="324"/>
    </row>
    <row r="2168" spans="8:15" ht="15.75" thickBot="1" x14ac:dyDescent="0.3">
      <c r="H2168" s="328"/>
      <c r="I2168" s="323"/>
      <c r="J2168" s="323"/>
      <c r="K2168" s="323"/>
      <c r="L2168" s="323"/>
      <c r="M2168" s="323"/>
      <c r="N2168" s="51" t="s">
        <v>62</v>
      </c>
      <c r="O2168" s="52" t="s">
        <v>63</v>
      </c>
    </row>
    <row r="2169" spans="8:15" x14ac:dyDescent="0.25">
      <c r="H2169" s="318">
        <v>234</v>
      </c>
      <c r="I2169" s="312">
        <v>42573</v>
      </c>
      <c r="J2169" s="314" t="s">
        <v>798</v>
      </c>
      <c r="K2169" s="316" t="s">
        <v>802</v>
      </c>
      <c r="L2169" s="318" t="s">
        <v>66</v>
      </c>
      <c r="M2169" s="320">
        <v>100000</v>
      </c>
      <c r="N2169" s="53">
        <v>719</v>
      </c>
      <c r="O2169" s="54">
        <v>100000</v>
      </c>
    </row>
    <row r="2170" spans="8:15" ht="11.25" customHeight="1" thickBot="1" x14ac:dyDescent="0.3">
      <c r="H2170" s="319"/>
      <c r="I2170" s="313"/>
      <c r="J2170" s="315"/>
      <c r="K2170" s="317"/>
      <c r="L2170" s="319"/>
      <c r="M2170" s="321"/>
      <c r="N2170" s="55">
        <v>721</v>
      </c>
      <c r="O2170" s="56"/>
    </row>
    <row r="2171" spans="8:15" ht="15" customHeight="1" x14ac:dyDescent="0.25">
      <c r="H2171" s="318">
        <v>235</v>
      </c>
      <c r="I2171" s="312">
        <v>42573</v>
      </c>
      <c r="J2171" s="314" t="s">
        <v>70</v>
      </c>
      <c r="K2171" s="316" t="s">
        <v>803</v>
      </c>
      <c r="L2171" s="318" t="s">
        <v>66</v>
      </c>
      <c r="M2171" s="320">
        <v>10000</v>
      </c>
      <c r="N2171" s="53">
        <v>719</v>
      </c>
      <c r="O2171" s="54">
        <v>10000</v>
      </c>
    </row>
    <row r="2172" spans="8:15" ht="12.75" customHeight="1" thickBot="1" x14ac:dyDescent="0.3">
      <c r="H2172" s="319"/>
      <c r="I2172" s="313"/>
      <c r="J2172" s="315"/>
      <c r="K2172" s="317"/>
      <c r="L2172" s="319"/>
      <c r="M2172" s="321"/>
      <c r="N2172" s="55">
        <v>721</v>
      </c>
      <c r="O2172" s="56"/>
    </row>
    <row r="2173" spans="8:15" ht="15" customHeight="1" x14ac:dyDescent="0.25">
      <c r="H2173" s="318">
        <v>236</v>
      </c>
      <c r="I2173" s="312">
        <v>42573</v>
      </c>
      <c r="J2173" s="314" t="s">
        <v>798</v>
      </c>
      <c r="K2173" s="316" t="s">
        <v>804</v>
      </c>
      <c r="L2173" s="318" t="s">
        <v>66</v>
      </c>
      <c r="M2173" s="320">
        <v>140000</v>
      </c>
      <c r="N2173" s="53">
        <v>719</v>
      </c>
      <c r="O2173" s="54">
        <v>140000</v>
      </c>
    </row>
    <row r="2174" spans="8:15" ht="12.75" customHeight="1" thickBot="1" x14ac:dyDescent="0.3">
      <c r="H2174" s="319"/>
      <c r="I2174" s="313"/>
      <c r="J2174" s="315"/>
      <c r="K2174" s="317"/>
      <c r="L2174" s="319"/>
      <c r="M2174" s="321"/>
      <c r="N2174" s="55">
        <v>721</v>
      </c>
      <c r="O2174" s="56">
        <f>+M2173-O2173</f>
        <v>0</v>
      </c>
    </row>
    <row r="2175" spans="8:15" x14ac:dyDescent="0.25">
      <c r="H2175" s="318">
        <v>237</v>
      </c>
      <c r="I2175" s="312">
        <v>42573</v>
      </c>
      <c r="J2175" s="314" t="s">
        <v>70</v>
      </c>
      <c r="K2175" s="316" t="s">
        <v>805</v>
      </c>
      <c r="L2175" s="318" t="s">
        <v>66</v>
      </c>
      <c r="M2175" s="320">
        <v>60000</v>
      </c>
      <c r="N2175" s="53">
        <v>719</v>
      </c>
      <c r="O2175" s="54">
        <v>60000</v>
      </c>
    </row>
    <row r="2176" spans="8:15" ht="13.5" customHeight="1" thickBot="1" x14ac:dyDescent="0.3">
      <c r="H2176" s="319"/>
      <c r="I2176" s="313"/>
      <c r="J2176" s="315"/>
      <c r="K2176" s="317"/>
      <c r="L2176" s="319"/>
      <c r="M2176" s="321"/>
      <c r="N2176" s="55">
        <v>721</v>
      </c>
      <c r="O2176" s="56">
        <f>+M2175-O2175</f>
        <v>0</v>
      </c>
    </row>
    <row r="2177" spans="8:15" ht="15" customHeight="1" x14ac:dyDescent="0.25">
      <c r="H2177" s="318">
        <v>238</v>
      </c>
      <c r="I2177" s="312">
        <v>42573</v>
      </c>
      <c r="J2177" s="314" t="s">
        <v>70</v>
      </c>
      <c r="K2177" s="316" t="s">
        <v>806</v>
      </c>
      <c r="L2177" s="318" t="s">
        <v>66</v>
      </c>
      <c r="M2177" s="320">
        <v>40000</v>
      </c>
      <c r="N2177" s="53">
        <v>719</v>
      </c>
      <c r="O2177" s="54">
        <v>40000</v>
      </c>
    </row>
    <row r="2178" spans="8:15" ht="12" customHeight="1" thickBot="1" x14ac:dyDescent="0.3">
      <c r="H2178" s="319"/>
      <c r="I2178" s="313"/>
      <c r="J2178" s="315"/>
      <c r="K2178" s="317"/>
      <c r="L2178" s="319"/>
      <c r="M2178" s="321"/>
      <c r="N2178" s="55">
        <v>721</v>
      </c>
      <c r="O2178" s="56">
        <f>+M2177-O2177</f>
        <v>0</v>
      </c>
    </row>
    <row r="2179" spans="8:15" ht="15" customHeight="1" x14ac:dyDescent="0.25">
      <c r="H2179" s="318">
        <v>239</v>
      </c>
      <c r="I2179" s="312">
        <v>42573</v>
      </c>
      <c r="J2179" s="314" t="s">
        <v>251</v>
      </c>
      <c r="K2179" s="316" t="s">
        <v>794</v>
      </c>
      <c r="L2179" s="318" t="s">
        <v>66</v>
      </c>
      <c r="M2179" s="320">
        <v>1259900</v>
      </c>
      <c r="N2179" s="53">
        <v>719</v>
      </c>
      <c r="O2179" s="54"/>
    </row>
    <row r="2180" spans="8:15" ht="12.75" customHeight="1" thickBot="1" x14ac:dyDescent="0.3">
      <c r="H2180" s="319"/>
      <c r="I2180" s="313"/>
      <c r="J2180" s="315"/>
      <c r="K2180" s="317"/>
      <c r="L2180" s="319"/>
      <c r="M2180" s="321"/>
      <c r="N2180" s="55">
        <v>723</v>
      </c>
      <c r="O2180" s="56">
        <f>+M2179-O2179</f>
        <v>1259900</v>
      </c>
    </row>
    <row r="2181" spans="8:15" ht="16.5" thickBot="1" x14ac:dyDescent="0.3">
      <c r="H2181" s="297" t="s">
        <v>80</v>
      </c>
      <c r="I2181" s="298"/>
      <c r="J2181" s="298"/>
      <c r="K2181" s="298"/>
      <c r="L2181" s="299"/>
      <c r="M2181" s="62">
        <f>SUM(M2169:M2180)</f>
        <v>1609900</v>
      </c>
    </row>
    <row r="2182" spans="8:15" ht="16.5" thickBot="1" x14ac:dyDescent="0.3">
      <c r="H2182" s="300" t="s">
        <v>81</v>
      </c>
      <c r="I2182" s="301"/>
      <c r="J2182" s="301"/>
      <c r="K2182" s="301"/>
      <c r="L2182" s="302"/>
      <c r="M2182" s="63">
        <f>+M2144</f>
        <v>89091622</v>
      </c>
      <c r="N2182" s="64" t="s">
        <v>82</v>
      </c>
      <c r="O2182" s="65">
        <f>28+324+91+533+198</f>
        <v>1174</v>
      </c>
    </row>
    <row r="2183" spans="8:15" ht="16.5" thickBot="1" x14ac:dyDescent="0.3">
      <c r="H2183" s="303" t="s">
        <v>83</v>
      </c>
      <c r="I2183" s="304"/>
      <c r="J2183" s="304"/>
      <c r="K2183" s="304"/>
      <c r="L2183" s="305"/>
      <c r="M2183" s="66">
        <f>SUM(M2181:M2182)</f>
        <v>90701522</v>
      </c>
    </row>
    <row r="2184" spans="8:15" ht="12.75" customHeight="1" x14ac:dyDescent="0.25">
      <c r="H2184" s="67"/>
      <c r="I2184" s="67"/>
      <c r="J2184" s="67"/>
      <c r="K2184" s="67"/>
      <c r="L2184" s="67"/>
    </row>
    <row r="2185" spans="8:15" x14ac:dyDescent="0.25">
      <c r="H2185" s="41" t="s">
        <v>807</v>
      </c>
    </row>
    <row r="2186" spans="8:15" ht="12" customHeight="1" x14ac:dyDescent="0.25">
      <c r="M2186" s="68"/>
    </row>
    <row r="2187" spans="8:15" x14ac:dyDescent="0.25">
      <c r="H2187" s="40" t="s">
        <v>86</v>
      </c>
      <c r="K2187" s="69"/>
      <c r="M2187" s="68"/>
    </row>
    <row r="2188" spans="8:15" ht="12.75" customHeight="1" thickBot="1" x14ac:dyDescent="0.3"/>
    <row r="2189" spans="8:15" ht="15.75" thickBot="1" x14ac:dyDescent="0.3">
      <c r="H2189" s="306" t="s">
        <v>87</v>
      </c>
      <c r="I2189" s="307"/>
      <c r="J2189" s="307"/>
      <c r="K2189" s="308"/>
      <c r="M2189" s="40" t="s">
        <v>89</v>
      </c>
    </row>
    <row r="2190" spans="8:15" ht="30.75" thickBot="1" x14ac:dyDescent="0.3">
      <c r="H2190" s="70" t="s">
        <v>62</v>
      </c>
      <c r="I2190" s="71" t="s">
        <v>90</v>
      </c>
      <c r="J2190" s="204" t="s">
        <v>91</v>
      </c>
      <c r="K2190" s="73" t="s">
        <v>92</v>
      </c>
    </row>
    <row r="2191" spans="8:15" x14ac:dyDescent="0.25">
      <c r="H2191" s="75">
        <v>719</v>
      </c>
      <c r="I2191" s="76">
        <f>+O2169+O2171+O2173+O2177+O2179+O2175</f>
        <v>350000</v>
      </c>
      <c r="J2191" s="77">
        <f>+K2152</f>
        <v>21480000</v>
      </c>
      <c r="K2191" s="79">
        <f>+I2191+J2191</f>
        <v>21830000</v>
      </c>
    </row>
    <row r="2192" spans="8:15" ht="13.5" customHeight="1" x14ac:dyDescent="0.25">
      <c r="H2192" s="80">
        <v>721</v>
      </c>
      <c r="I2192" s="81">
        <f>+O2170+O2172+O2174+O2178+O2176</f>
        <v>0</v>
      </c>
      <c r="J2192" s="77">
        <f>+K2153</f>
        <v>85394059</v>
      </c>
      <c r="K2192" s="79">
        <f>+I2192+J2192</f>
        <v>85394059</v>
      </c>
    </row>
    <row r="2193" spans="8:15" x14ac:dyDescent="0.25">
      <c r="H2193" s="80">
        <v>722</v>
      </c>
      <c r="I2193" s="81"/>
      <c r="J2193" s="77">
        <f>+K2154</f>
        <v>0</v>
      </c>
      <c r="K2193" s="79">
        <f>+I2193+J2193</f>
        <v>0</v>
      </c>
    </row>
    <row r="2194" spans="8:15" ht="15" customHeight="1" x14ac:dyDescent="0.25">
      <c r="H2194" s="80">
        <v>723</v>
      </c>
      <c r="I2194" s="81">
        <f>+O2180</f>
        <v>1259900</v>
      </c>
      <c r="J2194" s="77">
        <f>+K2155</f>
        <v>-17852437</v>
      </c>
      <c r="K2194" s="79">
        <f>+I2194+J2194</f>
        <v>-16592537</v>
      </c>
      <c r="M2194" s="109" t="s">
        <v>304</v>
      </c>
      <c r="N2194" s="84"/>
    </row>
    <row r="2195" spans="8:15" ht="13.5" customHeight="1" thickBot="1" x14ac:dyDescent="0.3">
      <c r="H2195" s="85" t="s">
        <v>94</v>
      </c>
      <c r="I2195" s="86"/>
      <c r="J2195" s="77" t="e">
        <f>+K2156</f>
        <v>#REF!</v>
      </c>
      <c r="K2195" s="89" t="e">
        <f>+I2195+J2195</f>
        <v>#REF!</v>
      </c>
      <c r="M2195" s="45"/>
    </row>
    <row r="2196" spans="8:15" ht="16.5" thickBot="1" x14ac:dyDescent="0.3">
      <c r="H2196" s="90"/>
      <c r="I2196" s="94">
        <f>SUM(I2191:I2195)</f>
        <v>1609900</v>
      </c>
      <c r="J2196" s="94" t="e">
        <f>SUM(J2191:J2195)</f>
        <v>#REF!</v>
      </c>
      <c r="K2196" s="95" t="e">
        <f>SUM(K2191:K2195)</f>
        <v>#REF!</v>
      </c>
    </row>
    <row r="2197" spans="8:15" ht="16.5" x14ac:dyDescent="0.25">
      <c r="H2197" s="39" t="s">
        <v>46</v>
      </c>
      <c r="I2197" s="40"/>
    </row>
    <row r="2198" spans="8:15" x14ac:dyDescent="0.25">
      <c r="H2198" s="41" t="s">
        <v>47</v>
      </c>
    </row>
    <row r="2199" spans="8:15" x14ac:dyDescent="0.25">
      <c r="H2199" s="41" t="s">
        <v>48</v>
      </c>
    </row>
    <row r="2200" spans="8:15" x14ac:dyDescent="0.25">
      <c r="H2200" s="41" t="s">
        <v>49</v>
      </c>
    </row>
    <row r="2201" spans="8:15" ht="10.5" customHeight="1" x14ac:dyDescent="0.25">
      <c r="H2201" s="40"/>
      <c r="I2201" s="40"/>
    </row>
    <row r="2202" spans="8:15" ht="15.75" x14ac:dyDescent="0.25">
      <c r="H2202" s="188" t="s">
        <v>808</v>
      </c>
      <c r="N2202" s="45"/>
    </row>
    <row r="2203" spans="8:15" ht="15.75" x14ac:dyDescent="0.25">
      <c r="H2203" s="47" t="s">
        <v>704</v>
      </c>
      <c r="N2203" s="47"/>
    </row>
    <row r="2204" spans="8:15" ht="16.5" x14ac:dyDescent="0.25">
      <c r="H2204" s="326" t="s">
        <v>683</v>
      </c>
      <c r="I2204" s="326"/>
      <c r="J2204" s="326"/>
      <c r="K2204" s="326"/>
      <c r="L2204" s="326"/>
      <c r="M2204" s="326"/>
      <c r="N2204" s="326"/>
      <c r="O2204" s="326"/>
    </row>
    <row r="2205" spans="8:15" ht="15.75" thickBot="1" x14ac:dyDescent="0.3"/>
    <row r="2206" spans="8:15" x14ac:dyDescent="0.25">
      <c r="H2206" s="327" t="s">
        <v>56</v>
      </c>
      <c r="I2206" s="322" t="s">
        <v>57</v>
      </c>
      <c r="J2206" s="322" t="s">
        <v>58</v>
      </c>
      <c r="K2206" s="322" t="s">
        <v>7</v>
      </c>
      <c r="L2206" s="322" t="s">
        <v>59</v>
      </c>
      <c r="M2206" s="322" t="s">
        <v>60</v>
      </c>
      <c r="N2206" s="322" t="s">
        <v>61</v>
      </c>
      <c r="O2206" s="324"/>
    </row>
    <row r="2207" spans="8:15" ht="15.75" thickBot="1" x14ac:dyDescent="0.3">
      <c r="H2207" s="328"/>
      <c r="I2207" s="323"/>
      <c r="J2207" s="323"/>
      <c r="K2207" s="323"/>
      <c r="L2207" s="323"/>
      <c r="M2207" s="323"/>
      <c r="N2207" s="51" t="s">
        <v>62</v>
      </c>
      <c r="O2207" s="52" t="s">
        <v>63</v>
      </c>
    </row>
    <row r="2208" spans="8:15" x14ac:dyDescent="0.25">
      <c r="H2208" s="318">
        <v>240</v>
      </c>
      <c r="I2208" s="312">
        <v>42592</v>
      </c>
      <c r="J2208" s="314" t="s">
        <v>798</v>
      </c>
      <c r="K2208" s="316" t="s">
        <v>809</v>
      </c>
      <c r="L2208" s="318" t="s">
        <v>66</v>
      </c>
      <c r="M2208" s="320">
        <v>110000</v>
      </c>
      <c r="N2208" s="53">
        <v>719</v>
      </c>
      <c r="O2208" s="54">
        <f>+M2208</f>
        <v>110000</v>
      </c>
    </row>
    <row r="2209" spans="8:15" ht="15.75" thickBot="1" x14ac:dyDescent="0.3">
      <c r="H2209" s="319"/>
      <c r="I2209" s="313"/>
      <c r="J2209" s="315"/>
      <c r="K2209" s="317"/>
      <c r="L2209" s="319"/>
      <c r="M2209" s="321"/>
      <c r="N2209" s="55">
        <v>721</v>
      </c>
      <c r="O2209" s="56"/>
    </row>
    <row r="2210" spans="8:15" ht="15" customHeight="1" x14ac:dyDescent="0.25">
      <c r="H2210" s="318">
        <v>241</v>
      </c>
      <c r="I2210" s="312">
        <v>42592</v>
      </c>
      <c r="J2210" s="314" t="s">
        <v>70</v>
      </c>
      <c r="K2210" s="316" t="s">
        <v>810</v>
      </c>
      <c r="L2210" s="318" t="s">
        <v>66</v>
      </c>
      <c r="M2210" s="320">
        <v>70000</v>
      </c>
      <c r="N2210" s="53">
        <v>719</v>
      </c>
      <c r="O2210" s="54">
        <f>+M2210</f>
        <v>70000</v>
      </c>
    </row>
    <row r="2211" spans="8:15" ht="15.75" customHeight="1" thickBot="1" x14ac:dyDescent="0.3">
      <c r="H2211" s="319"/>
      <c r="I2211" s="313"/>
      <c r="J2211" s="315"/>
      <c r="K2211" s="317"/>
      <c r="L2211" s="319"/>
      <c r="M2211" s="321"/>
      <c r="N2211" s="55">
        <v>721</v>
      </c>
      <c r="O2211" s="56"/>
    </row>
    <row r="2212" spans="8:15" ht="15" customHeight="1" x14ac:dyDescent="0.25">
      <c r="H2212" s="318">
        <v>242</v>
      </c>
      <c r="I2212" s="312">
        <v>42592</v>
      </c>
      <c r="J2212" s="314" t="s">
        <v>798</v>
      </c>
      <c r="K2212" s="316" t="s">
        <v>811</v>
      </c>
      <c r="L2212" s="318" t="s">
        <v>66</v>
      </c>
      <c r="M2212" s="320">
        <v>260000</v>
      </c>
      <c r="N2212" s="53">
        <v>719</v>
      </c>
      <c r="O2212" s="54">
        <v>260000</v>
      </c>
    </row>
    <row r="2213" spans="8:15" ht="15.75" customHeight="1" thickBot="1" x14ac:dyDescent="0.3">
      <c r="H2213" s="319"/>
      <c r="I2213" s="313"/>
      <c r="J2213" s="315"/>
      <c r="K2213" s="317"/>
      <c r="L2213" s="319"/>
      <c r="M2213" s="321"/>
      <c r="N2213" s="55">
        <v>721</v>
      </c>
      <c r="O2213" s="56">
        <f>+M2212-O2212</f>
        <v>0</v>
      </c>
    </row>
    <row r="2214" spans="8:15" ht="15" customHeight="1" x14ac:dyDescent="0.25">
      <c r="H2214" s="318"/>
      <c r="I2214" s="312"/>
      <c r="J2214" s="314"/>
      <c r="K2214" s="316"/>
      <c r="L2214" s="318"/>
      <c r="M2214" s="320"/>
      <c r="N2214" s="53">
        <v>719</v>
      </c>
      <c r="O2214" s="54">
        <v>0</v>
      </c>
    </row>
    <row r="2215" spans="8:15" ht="15.75" customHeight="1" thickBot="1" x14ac:dyDescent="0.3">
      <c r="H2215" s="319"/>
      <c r="I2215" s="313"/>
      <c r="J2215" s="315"/>
      <c r="K2215" s="317"/>
      <c r="L2215" s="319"/>
      <c r="M2215" s="321"/>
      <c r="N2215" s="55">
        <v>721</v>
      </c>
      <c r="O2215" s="56">
        <f>+M2214-O2214</f>
        <v>0</v>
      </c>
    </row>
    <row r="2216" spans="8:15" x14ac:dyDescent="0.25">
      <c r="H2216" s="318"/>
      <c r="I2216" s="312"/>
      <c r="J2216" s="314"/>
      <c r="K2216" s="316"/>
      <c r="L2216" s="318"/>
      <c r="M2216" s="320"/>
      <c r="N2216" s="53">
        <v>719</v>
      </c>
      <c r="O2216" s="54"/>
    </row>
    <row r="2217" spans="8:15" ht="15.75" thickBot="1" x14ac:dyDescent="0.3">
      <c r="H2217" s="319"/>
      <c r="I2217" s="313"/>
      <c r="J2217" s="315"/>
      <c r="K2217" s="317"/>
      <c r="L2217" s="319"/>
      <c r="M2217" s="321"/>
      <c r="N2217" s="55">
        <v>723</v>
      </c>
      <c r="O2217" s="56">
        <f>+M2216-O2216</f>
        <v>0</v>
      </c>
    </row>
    <row r="2218" spans="8:15" ht="16.5" thickBot="1" x14ac:dyDescent="0.3">
      <c r="H2218" s="297" t="s">
        <v>80</v>
      </c>
      <c r="I2218" s="298"/>
      <c r="J2218" s="298"/>
      <c r="K2218" s="298"/>
      <c r="L2218" s="299"/>
      <c r="M2218" s="62">
        <f>SUM(M2208:M2217)</f>
        <v>440000</v>
      </c>
    </row>
    <row r="2219" spans="8:15" ht="16.5" thickBot="1" x14ac:dyDescent="0.3">
      <c r="H2219" s="300" t="s">
        <v>81</v>
      </c>
      <c r="I2219" s="301"/>
      <c r="J2219" s="301"/>
      <c r="K2219" s="301"/>
      <c r="L2219" s="302"/>
      <c r="M2219" s="63">
        <f>+M2183</f>
        <v>90701522</v>
      </c>
      <c r="N2219" s="64" t="s">
        <v>82</v>
      </c>
      <c r="O2219" s="65">
        <f>742+165+273</f>
        <v>1180</v>
      </c>
    </row>
    <row r="2220" spans="8:15" ht="16.5" thickBot="1" x14ac:dyDescent="0.3">
      <c r="H2220" s="303" t="s">
        <v>83</v>
      </c>
      <c r="I2220" s="304"/>
      <c r="J2220" s="304"/>
      <c r="K2220" s="304"/>
      <c r="L2220" s="305"/>
      <c r="M2220" s="66">
        <f>SUM(M2218:M2219)</f>
        <v>91141522</v>
      </c>
    </row>
    <row r="2221" spans="8:15" x14ac:dyDescent="0.25">
      <c r="H2221" s="67"/>
      <c r="I2221" s="67"/>
      <c r="J2221" s="67"/>
      <c r="K2221" s="67"/>
      <c r="L2221" s="67"/>
    </row>
    <row r="2222" spans="8:15" x14ac:dyDescent="0.25">
      <c r="H2222" s="41" t="s">
        <v>812</v>
      </c>
    </row>
    <row r="2223" spans="8:15" ht="12.75" customHeight="1" x14ac:dyDescent="0.25">
      <c r="M2223" s="68"/>
    </row>
    <row r="2224" spans="8:15" x14ac:dyDescent="0.25">
      <c r="H2224" s="40" t="s">
        <v>86</v>
      </c>
      <c r="K2224" s="69"/>
      <c r="M2224" s="68"/>
    </row>
    <row r="2225" spans="8:14" ht="12.75" customHeight="1" thickBot="1" x14ac:dyDescent="0.3"/>
    <row r="2226" spans="8:14" ht="15.75" thickBot="1" x14ac:dyDescent="0.3">
      <c r="H2226" s="306" t="s">
        <v>87</v>
      </c>
      <c r="I2226" s="307"/>
      <c r="J2226" s="307"/>
      <c r="K2226" s="308"/>
      <c r="M2226" s="40" t="s">
        <v>237</v>
      </c>
    </row>
    <row r="2227" spans="8:14" ht="30.75" thickBot="1" x14ac:dyDescent="0.3">
      <c r="H2227" s="70" t="s">
        <v>62</v>
      </c>
      <c r="I2227" s="71" t="s">
        <v>90</v>
      </c>
      <c r="J2227" s="204" t="s">
        <v>91</v>
      </c>
      <c r="K2227" s="73" t="s">
        <v>92</v>
      </c>
    </row>
    <row r="2228" spans="8:14" x14ac:dyDescent="0.25">
      <c r="H2228" s="75">
        <v>719</v>
      </c>
      <c r="I2228" s="76">
        <f>+O2208+O2210+O2212+O2214+O2216</f>
        <v>440000</v>
      </c>
      <c r="J2228" s="77">
        <f>+K2191</f>
        <v>21830000</v>
      </c>
      <c r="K2228" s="79">
        <f>+I2228+J2228</f>
        <v>22270000</v>
      </c>
    </row>
    <row r="2229" spans="8:14" x14ac:dyDescent="0.25">
      <c r="H2229" s="80">
        <v>721</v>
      </c>
      <c r="I2229" s="81">
        <f>+O2209+O2211+O2213+O2215</f>
        <v>0</v>
      </c>
      <c r="J2229" s="77">
        <f>+K2192</f>
        <v>85394059</v>
      </c>
      <c r="K2229" s="79">
        <f>+I2229+J2229</f>
        <v>85394059</v>
      </c>
    </row>
    <row r="2230" spans="8:14" x14ac:dyDescent="0.25">
      <c r="H2230" s="80">
        <v>722</v>
      </c>
      <c r="I2230" s="81"/>
      <c r="J2230" s="77">
        <f>+K2193</f>
        <v>0</v>
      </c>
      <c r="K2230" s="79">
        <f>+I2230+J2230</f>
        <v>0</v>
      </c>
    </row>
    <row r="2231" spans="8:14" ht="15.75" x14ac:dyDescent="0.25">
      <c r="H2231" s="80">
        <v>723</v>
      </c>
      <c r="I2231" s="81">
        <f>+O2217</f>
        <v>0</v>
      </c>
      <c r="J2231" s="77">
        <f>+K2194</f>
        <v>-16592537</v>
      </c>
      <c r="K2231" s="79">
        <f>+I2231+J2231</f>
        <v>-16592537</v>
      </c>
      <c r="M2231" s="109" t="s">
        <v>813</v>
      </c>
      <c r="N2231" s="84"/>
    </row>
    <row r="2232" spans="8:14" ht="16.5" thickBot="1" x14ac:dyDescent="0.3">
      <c r="H2232" s="85" t="s">
        <v>94</v>
      </c>
      <c r="I2232" s="86"/>
      <c r="J2232" s="77" t="e">
        <f>+K2195</f>
        <v>#REF!</v>
      </c>
      <c r="K2232" s="89" t="e">
        <f>+I2232+J2232</f>
        <v>#REF!</v>
      </c>
      <c r="M2232" s="45"/>
    </row>
    <row r="2233" spans="8:14" ht="16.5" thickBot="1" x14ac:dyDescent="0.3">
      <c r="H2233" s="90"/>
      <c r="I2233" s="94">
        <f>SUM(I2228:I2232)</f>
        <v>440000</v>
      </c>
      <c r="J2233" s="94" t="e">
        <f>SUM(J2228:J2232)</f>
        <v>#REF!</v>
      </c>
      <c r="K2233" s="95" t="e">
        <f>SUM(K2228:K2232)</f>
        <v>#REF!</v>
      </c>
    </row>
    <row r="2234" spans="8:14" ht="16.5" x14ac:dyDescent="0.25">
      <c r="H2234" s="39" t="s">
        <v>46</v>
      </c>
      <c r="I2234" s="40"/>
    </row>
    <row r="2235" spans="8:14" x14ac:dyDescent="0.25">
      <c r="H2235" s="41" t="s">
        <v>47</v>
      </c>
    </row>
    <row r="2236" spans="8:14" x14ac:dyDescent="0.25">
      <c r="H2236" s="41" t="s">
        <v>48</v>
      </c>
    </row>
    <row r="2237" spans="8:14" x14ac:dyDescent="0.25">
      <c r="H2237" s="41" t="s">
        <v>49</v>
      </c>
    </row>
    <row r="2238" spans="8:14" ht="10.5" customHeight="1" x14ac:dyDescent="0.25">
      <c r="H2238" s="40"/>
      <c r="I2238" s="40"/>
    </row>
    <row r="2239" spans="8:14" ht="15.75" x14ac:dyDescent="0.25">
      <c r="H2239" s="188" t="s">
        <v>814</v>
      </c>
      <c r="N2239" s="45"/>
    </row>
    <row r="2240" spans="8:14" ht="15.75" x14ac:dyDescent="0.25">
      <c r="H2240" s="47" t="s">
        <v>704</v>
      </c>
      <c r="N2240" s="47"/>
    </row>
    <row r="2241" spans="8:15" ht="16.5" x14ac:dyDescent="0.25">
      <c r="H2241" s="326" t="s">
        <v>683</v>
      </c>
      <c r="I2241" s="326"/>
      <c r="J2241" s="326"/>
      <c r="K2241" s="326"/>
      <c r="L2241" s="326"/>
      <c r="M2241" s="326"/>
      <c r="N2241" s="326"/>
      <c r="O2241" s="326"/>
    </row>
    <row r="2242" spans="8:15" ht="12" customHeight="1" thickBot="1" x14ac:dyDescent="0.3"/>
    <row r="2243" spans="8:15" x14ac:dyDescent="0.25">
      <c r="H2243" s="327" t="s">
        <v>56</v>
      </c>
      <c r="I2243" s="322" t="s">
        <v>57</v>
      </c>
      <c r="J2243" s="322" t="s">
        <v>58</v>
      </c>
      <c r="K2243" s="322" t="s">
        <v>7</v>
      </c>
      <c r="L2243" s="322" t="s">
        <v>59</v>
      </c>
      <c r="M2243" s="322" t="s">
        <v>60</v>
      </c>
      <c r="N2243" s="322" t="s">
        <v>61</v>
      </c>
      <c r="O2243" s="324"/>
    </row>
    <row r="2244" spans="8:15" ht="15.75" thickBot="1" x14ac:dyDescent="0.3">
      <c r="H2244" s="328"/>
      <c r="I2244" s="323"/>
      <c r="J2244" s="323"/>
      <c r="K2244" s="323"/>
      <c r="L2244" s="323"/>
      <c r="M2244" s="323"/>
      <c r="N2244" s="51" t="s">
        <v>62</v>
      </c>
      <c r="O2244" s="52" t="s">
        <v>63</v>
      </c>
    </row>
    <row r="2245" spans="8:15" x14ac:dyDescent="0.25">
      <c r="H2245" s="318">
        <v>243</v>
      </c>
      <c r="I2245" s="312">
        <v>42621</v>
      </c>
      <c r="J2245" s="314" t="s">
        <v>798</v>
      </c>
      <c r="K2245" s="316" t="s">
        <v>815</v>
      </c>
      <c r="L2245" s="318" t="s">
        <v>66</v>
      </c>
      <c r="M2245" s="320">
        <v>190000</v>
      </c>
      <c r="N2245" s="53">
        <v>719</v>
      </c>
      <c r="O2245" s="54">
        <f>+M2245</f>
        <v>190000</v>
      </c>
    </row>
    <row r="2246" spans="8:15" ht="15.75" thickBot="1" x14ac:dyDescent="0.3">
      <c r="H2246" s="319"/>
      <c r="I2246" s="313"/>
      <c r="J2246" s="315"/>
      <c r="K2246" s="317"/>
      <c r="L2246" s="319"/>
      <c r="M2246" s="321"/>
      <c r="N2246" s="55">
        <v>721</v>
      </c>
      <c r="O2246" s="56"/>
    </row>
    <row r="2247" spans="8:15" ht="15" customHeight="1" x14ac:dyDescent="0.25">
      <c r="H2247" s="318">
        <v>244</v>
      </c>
      <c r="I2247" s="312">
        <v>42621</v>
      </c>
      <c r="J2247" s="314" t="s">
        <v>70</v>
      </c>
      <c r="K2247" s="316" t="s">
        <v>815</v>
      </c>
      <c r="L2247" s="318" t="s">
        <v>66</v>
      </c>
      <c r="M2247" s="320">
        <v>60000</v>
      </c>
      <c r="N2247" s="53">
        <v>719</v>
      </c>
      <c r="O2247" s="54">
        <f>+M2247</f>
        <v>60000</v>
      </c>
    </row>
    <row r="2248" spans="8:15" ht="15.75" customHeight="1" thickBot="1" x14ac:dyDescent="0.3">
      <c r="H2248" s="319"/>
      <c r="I2248" s="313"/>
      <c r="J2248" s="315"/>
      <c r="K2248" s="317"/>
      <c r="L2248" s="319"/>
      <c r="M2248" s="321"/>
      <c r="N2248" s="55">
        <v>721</v>
      </c>
      <c r="O2248" s="56"/>
    </row>
    <row r="2249" spans="8:15" ht="15" customHeight="1" x14ac:dyDescent="0.25">
      <c r="H2249" s="318">
        <v>245</v>
      </c>
      <c r="I2249" s="312">
        <v>42621</v>
      </c>
      <c r="J2249" s="314" t="s">
        <v>798</v>
      </c>
      <c r="K2249" s="316" t="s">
        <v>816</v>
      </c>
      <c r="L2249" s="318" t="s">
        <v>66</v>
      </c>
      <c r="M2249" s="320">
        <v>560000</v>
      </c>
      <c r="N2249" s="53">
        <v>719</v>
      </c>
      <c r="O2249" s="54">
        <v>560000</v>
      </c>
    </row>
    <row r="2250" spans="8:15" ht="15.75" customHeight="1" thickBot="1" x14ac:dyDescent="0.3">
      <c r="H2250" s="319"/>
      <c r="I2250" s="313"/>
      <c r="J2250" s="315"/>
      <c r="K2250" s="317"/>
      <c r="L2250" s="319"/>
      <c r="M2250" s="321"/>
      <c r="N2250" s="55">
        <v>721</v>
      </c>
      <c r="O2250" s="56">
        <f>+M2249-O2249</f>
        <v>0</v>
      </c>
    </row>
    <row r="2251" spans="8:15" ht="15" customHeight="1" x14ac:dyDescent="0.25">
      <c r="H2251" s="318">
        <v>246</v>
      </c>
      <c r="I2251" s="312">
        <v>42621</v>
      </c>
      <c r="J2251" s="314" t="s">
        <v>70</v>
      </c>
      <c r="K2251" s="316" t="s">
        <v>817</v>
      </c>
      <c r="L2251" s="318" t="s">
        <v>66</v>
      </c>
      <c r="M2251" s="320">
        <v>70000</v>
      </c>
      <c r="N2251" s="53">
        <v>719</v>
      </c>
      <c r="O2251" s="54">
        <v>70000</v>
      </c>
    </row>
    <row r="2252" spans="8:15" ht="15.75" customHeight="1" thickBot="1" x14ac:dyDescent="0.3">
      <c r="H2252" s="319"/>
      <c r="I2252" s="313"/>
      <c r="J2252" s="315"/>
      <c r="K2252" s="317"/>
      <c r="L2252" s="319"/>
      <c r="M2252" s="321"/>
      <c r="N2252" s="55">
        <v>721</v>
      </c>
      <c r="O2252" s="56">
        <f>+M2251-O2251</f>
        <v>0</v>
      </c>
    </row>
    <row r="2253" spans="8:15" ht="15" customHeight="1" x14ac:dyDescent="0.25">
      <c r="H2253" s="318"/>
      <c r="I2253" s="312"/>
      <c r="J2253" s="314"/>
      <c r="K2253" s="316"/>
      <c r="L2253" s="318"/>
      <c r="M2253" s="320"/>
      <c r="N2253" s="53">
        <v>719</v>
      </c>
      <c r="O2253" s="54"/>
    </row>
    <row r="2254" spans="8:15" ht="15.75" customHeight="1" thickBot="1" x14ac:dyDescent="0.3">
      <c r="H2254" s="319"/>
      <c r="I2254" s="313"/>
      <c r="J2254" s="315"/>
      <c r="K2254" s="317"/>
      <c r="L2254" s="319"/>
      <c r="M2254" s="321"/>
      <c r="N2254" s="55">
        <v>723</v>
      </c>
      <c r="O2254" s="56">
        <f>+M2253-O2253</f>
        <v>0</v>
      </c>
    </row>
    <row r="2255" spans="8:15" ht="16.5" thickBot="1" x14ac:dyDescent="0.3">
      <c r="H2255" s="297" t="s">
        <v>80</v>
      </c>
      <c r="I2255" s="298"/>
      <c r="J2255" s="298"/>
      <c r="K2255" s="298"/>
      <c r="L2255" s="299"/>
      <c r="M2255" s="62">
        <f>SUM(M2245:M2254)</f>
        <v>880000</v>
      </c>
    </row>
    <row r="2256" spans="8:15" ht="16.5" thickBot="1" x14ac:dyDescent="0.3">
      <c r="H2256" s="300" t="s">
        <v>81</v>
      </c>
      <c r="I2256" s="301"/>
      <c r="J2256" s="301"/>
      <c r="K2256" s="301"/>
      <c r="L2256" s="302"/>
      <c r="M2256" s="63">
        <f>+M2220</f>
        <v>91141522</v>
      </c>
      <c r="N2256" s="64" t="s">
        <v>82</v>
      </c>
      <c r="O2256" s="65">
        <f>86+1021+143+512</f>
        <v>1762</v>
      </c>
    </row>
    <row r="2257" spans="8:14" ht="16.5" thickBot="1" x14ac:dyDescent="0.3">
      <c r="H2257" s="303" t="s">
        <v>83</v>
      </c>
      <c r="I2257" s="304"/>
      <c r="J2257" s="304"/>
      <c r="K2257" s="304"/>
      <c r="L2257" s="305"/>
      <c r="M2257" s="66">
        <f>SUM(M2255:M2256)</f>
        <v>92021522</v>
      </c>
    </row>
    <row r="2258" spans="8:14" x14ac:dyDescent="0.25">
      <c r="H2258" s="67"/>
      <c r="I2258" s="67"/>
      <c r="J2258" s="67"/>
      <c r="K2258" s="67"/>
      <c r="L2258" s="67"/>
    </row>
    <row r="2259" spans="8:14" x14ac:dyDescent="0.25">
      <c r="H2259" s="41" t="s">
        <v>818</v>
      </c>
    </row>
    <row r="2260" spans="8:14" ht="12.75" customHeight="1" x14ac:dyDescent="0.25">
      <c r="M2260" s="68"/>
    </row>
    <row r="2261" spans="8:14" x14ac:dyDescent="0.25">
      <c r="H2261" s="40" t="s">
        <v>86</v>
      </c>
      <c r="K2261" s="69"/>
      <c r="M2261" s="68"/>
    </row>
    <row r="2262" spans="8:14" ht="13.5" customHeight="1" thickBot="1" x14ac:dyDescent="0.3"/>
    <row r="2263" spans="8:14" ht="15.75" thickBot="1" x14ac:dyDescent="0.3">
      <c r="H2263" s="306" t="s">
        <v>87</v>
      </c>
      <c r="I2263" s="307"/>
      <c r="J2263" s="307"/>
      <c r="K2263" s="308"/>
      <c r="M2263" s="40" t="s">
        <v>89</v>
      </c>
    </row>
    <row r="2264" spans="8:14" ht="30.75" thickBot="1" x14ac:dyDescent="0.3">
      <c r="H2264" s="70" t="s">
        <v>62</v>
      </c>
      <c r="I2264" s="71" t="s">
        <v>90</v>
      </c>
      <c r="J2264" s="204" t="s">
        <v>91</v>
      </c>
      <c r="K2264" s="73" t="s">
        <v>92</v>
      </c>
    </row>
    <row r="2265" spans="8:14" x14ac:dyDescent="0.25">
      <c r="H2265" s="75">
        <v>719</v>
      </c>
      <c r="I2265" s="76">
        <f>+O2245+O2247+O2249+O2251+O2253</f>
        <v>880000</v>
      </c>
      <c r="J2265" s="77">
        <f>+K2228</f>
        <v>22270000</v>
      </c>
      <c r="K2265" s="79">
        <f>+I2265+J2265</f>
        <v>23150000</v>
      </c>
    </row>
    <row r="2266" spans="8:14" x14ac:dyDescent="0.25">
      <c r="H2266" s="80">
        <v>721</v>
      </c>
      <c r="I2266" s="81">
        <f>+O2246+O2248+O2250+O2252</f>
        <v>0</v>
      </c>
      <c r="J2266" s="77">
        <f>+K2229</f>
        <v>85394059</v>
      </c>
      <c r="K2266" s="79">
        <f>+I2266+J2266</f>
        <v>85394059</v>
      </c>
    </row>
    <row r="2267" spans="8:14" x14ac:dyDescent="0.25">
      <c r="H2267" s="80">
        <v>722</v>
      </c>
      <c r="I2267" s="81"/>
      <c r="J2267" s="77">
        <f>+K2230</f>
        <v>0</v>
      </c>
      <c r="K2267" s="79">
        <f>+I2267+J2267</f>
        <v>0</v>
      </c>
    </row>
    <row r="2268" spans="8:14" ht="15.75" x14ac:dyDescent="0.25">
      <c r="H2268" s="80">
        <v>723</v>
      </c>
      <c r="I2268" s="81">
        <f>+O2254</f>
        <v>0</v>
      </c>
      <c r="J2268" s="77">
        <f>+K2231</f>
        <v>-16592537</v>
      </c>
      <c r="K2268" s="79">
        <f>+I2268+J2268</f>
        <v>-16592537</v>
      </c>
      <c r="M2268" s="109" t="s">
        <v>304</v>
      </c>
      <c r="N2268" s="84"/>
    </row>
    <row r="2269" spans="8:14" ht="16.5" thickBot="1" x14ac:dyDescent="0.3">
      <c r="H2269" s="85" t="s">
        <v>94</v>
      </c>
      <c r="I2269" s="86"/>
      <c r="J2269" s="77" t="e">
        <f>+K2232</f>
        <v>#REF!</v>
      </c>
      <c r="K2269" s="89" t="e">
        <f>+I2269+J2269</f>
        <v>#REF!</v>
      </c>
      <c r="M2269" s="45"/>
    </row>
    <row r="2270" spans="8:14" ht="16.5" thickBot="1" x14ac:dyDescent="0.3">
      <c r="H2270" s="90"/>
      <c r="I2270" s="94">
        <f>SUM(I2265:I2269)</f>
        <v>880000</v>
      </c>
      <c r="J2270" s="94" t="e">
        <f>SUM(J2265:J2269)</f>
        <v>#REF!</v>
      </c>
      <c r="K2270" s="95" t="e">
        <f>SUM(K2265:K2269)</f>
        <v>#REF!</v>
      </c>
    </row>
    <row r="2271" spans="8:14" ht="16.5" x14ac:dyDescent="0.25">
      <c r="H2271" s="39" t="s">
        <v>46</v>
      </c>
      <c r="I2271" s="40"/>
    </row>
    <row r="2272" spans="8:14" x14ac:dyDescent="0.25">
      <c r="H2272" s="41" t="s">
        <v>47</v>
      </c>
    </row>
    <row r="2273" spans="8:15" x14ac:dyDescent="0.25">
      <c r="H2273" s="41" t="s">
        <v>48</v>
      </c>
    </row>
    <row r="2274" spans="8:15" x14ac:dyDescent="0.25">
      <c r="H2274" s="41" t="s">
        <v>49</v>
      </c>
    </row>
    <row r="2275" spans="8:15" ht="11.25" customHeight="1" x14ac:dyDescent="0.25">
      <c r="H2275" s="40"/>
      <c r="I2275" s="40"/>
    </row>
    <row r="2276" spans="8:15" ht="15.75" x14ac:dyDescent="0.25">
      <c r="H2276" s="188" t="s">
        <v>819</v>
      </c>
      <c r="N2276" s="45"/>
    </row>
    <row r="2277" spans="8:15" ht="15.75" x14ac:dyDescent="0.25">
      <c r="H2277" s="47" t="s">
        <v>704</v>
      </c>
      <c r="N2277" s="47"/>
    </row>
    <row r="2278" spans="8:15" ht="16.5" x14ac:dyDescent="0.25">
      <c r="H2278" s="326" t="s">
        <v>683</v>
      </c>
      <c r="I2278" s="326"/>
      <c r="J2278" s="326"/>
      <c r="K2278" s="326"/>
      <c r="L2278" s="326"/>
      <c r="M2278" s="326"/>
      <c r="N2278" s="326"/>
      <c r="O2278" s="326"/>
    </row>
    <row r="2279" spans="8:15" ht="15.75" thickBot="1" x14ac:dyDescent="0.3"/>
    <row r="2280" spans="8:15" x14ac:dyDescent="0.25">
      <c r="H2280" s="327" t="s">
        <v>56</v>
      </c>
      <c r="I2280" s="322" t="s">
        <v>57</v>
      </c>
      <c r="J2280" s="322" t="s">
        <v>58</v>
      </c>
      <c r="K2280" s="322" t="s">
        <v>7</v>
      </c>
      <c r="L2280" s="322" t="s">
        <v>59</v>
      </c>
      <c r="M2280" s="322" t="s">
        <v>60</v>
      </c>
      <c r="N2280" s="322" t="s">
        <v>61</v>
      </c>
      <c r="O2280" s="324"/>
    </row>
    <row r="2281" spans="8:15" ht="15.75" thickBot="1" x14ac:dyDescent="0.3">
      <c r="H2281" s="328"/>
      <c r="I2281" s="323"/>
      <c r="J2281" s="323"/>
      <c r="K2281" s="323"/>
      <c r="L2281" s="323"/>
      <c r="M2281" s="323"/>
      <c r="N2281" s="51" t="s">
        <v>62</v>
      </c>
      <c r="O2281" s="52" t="s">
        <v>63</v>
      </c>
    </row>
    <row r="2282" spans="8:15" x14ac:dyDescent="0.25">
      <c r="H2282" s="318">
        <v>247</v>
      </c>
      <c r="I2282" s="312">
        <v>42623</v>
      </c>
      <c r="J2282" s="314" t="s">
        <v>781</v>
      </c>
      <c r="K2282" s="316" t="s">
        <v>820</v>
      </c>
      <c r="L2282" s="318" t="s">
        <v>5</v>
      </c>
      <c r="M2282" s="320">
        <v>140000</v>
      </c>
      <c r="N2282" s="53">
        <v>719</v>
      </c>
      <c r="O2282" s="54">
        <v>100000</v>
      </c>
    </row>
    <row r="2283" spans="8:15" ht="15.75" thickBot="1" x14ac:dyDescent="0.3">
      <c r="H2283" s="319"/>
      <c r="I2283" s="313"/>
      <c r="J2283" s="315"/>
      <c r="K2283" s="317"/>
      <c r="L2283" s="319"/>
      <c r="M2283" s="321"/>
      <c r="N2283" s="55">
        <v>721</v>
      </c>
      <c r="O2283" s="56">
        <f>+M2282-O2282</f>
        <v>40000</v>
      </c>
    </row>
    <row r="2284" spans="8:15" x14ac:dyDescent="0.25">
      <c r="H2284" s="318">
        <v>248</v>
      </c>
      <c r="I2284" s="312">
        <v>42623</v>
      </c>
      <c r="J2284" s="314" t="s">
        <v>70</v>
      </c>
      <c r="K2284" s="316" t="s">
        <v>821</v>
      </c>
      <c r="L2284" s="318" t="s">
        <v>5</v>
      </c>
      <c r="M2284" s="320">
        <v>714000</v>
      </c>
      <c r="N2284" s="53">
        <v>719</v>
      </c>
      <c r="O2284" s="54">
        <f>+M2284-O2285</f>
        <v>510000</v>
      </c>
    </row>
    <row r="2285" spans="8:15" ht="15.75" thickBot="1" x14ac:dyDescent="0.3">
      <c r="H2285" s="319"/>
      <c r="I2285" s="313"/>
      <c r="J2285" s="315"/>
      <c r="K2285" s="317"/>
      <c r="L2285" s="319"/>
      <c r="M2285" s="321"/>
      <c r="N2285" s="55">
        <v>721</v>
      </c>
      <c r="O2285" s="56">
        <v>204000</v>
      </c>
    </row>
    <row r="2286" spans="8:15" x14ac:dyDescent="0.25">
      <c r="H2286" s="318">
        <v>249</v>
      </c>
      <c r="I2286" s="312">
        <v>42623</v>
      </c>
      <c r="J2286" s="314" t="s">
        <v>231</v>
      </c>
      <c r="K2286" s="316" t="s">
        <v>822</v>
      </c>
      <c r="L2286" s="318" t="s">
        <v>5</v>
      </c>
      <c r="M2286" s="320">
        <v>252000</v>
      </c>
      <c r="N2286" s="53">
        <v>719</v>
      </c>
      <c r="O2286" s="54">
        <v>180000</v>
      </c>
    </row>
    <row r="2287" spans="8:15" ht="15.75" thickBot="1" x14ac:dyDescent="0.3">
      <c r="H2287" s="319"/>
      <c r="I2287" s="313"/>
      <c r="J2287" s="315"/>
      <c r="K2287" s="317"/>
      <c r="L2287" s="319"/>
      <c r="M2287" s="321"/>
      <c r="N2287" s="55">
        <v>721</v>
      </c>
      <c r="O2287" s="56">
        <f>+M2286-O2286</f>
        <v>72000</v>
      </c>
    </row>
    <row r="2288" spans="8:15" x14ac:dyDescent="0.25">
      <c r="H2288" s="318">
        <v>250</v>
      </c>
      <c r="I2288" s="312">
        <v>42623</v>
      </c>
      <c r="J2288" s="314" t="s">
        <v>781</v>
      </c>
      <c r="K2288" s="316" t="s">
        <v>823</v>
      </c>
      <c r="L2288" s="318" t="s">
        <v>5</v>
      </c>
      <c r="M2288" s="320">
        <v>112000</v>
      </c>
      <c r="N2288" s="53">
        <v>719</v>
      </c>
      <c r="O2288" s="54">
        <v>80000</v>
      </c>
    </row>
    <row r="2289" spans="8:15" ht="15.75" thickBot="1" x14ac:dyDescent="0.3">
      <c r="H2289" s="319"/>
      <c r="I2289" s="313"/>
      <c r="J2289" s="315"/>
      <c r="K2289" s="317"/>
      <c r="L2289" s="319"/>
      <c r="M2289" s="321"/>
      <c r="N2289" s="55">
        <v>721</v>
      </c>
      <c r="O2289" s="56">
        <f>+M2288-O2288</f>
        <v>32000</v>
      </c>
    </row>
    <row r="2290" spans="8:15" x14ac:dyDescent="0.25">
      <c r="H2290" s="318">
        <v>251</v>
      </c>
      <c r="I2290" s="312">
        <v>42623</v>
      </c>
      <c r="J2290" s="314" t="s">
        <v>70</v>
      </c>
      <c r="K2290" s="316" t="s">
        <v>824</v>
      </c>
      <c r="L2290" s="318" t="s">
        <v>5</v>
      </c>
      <c r="M2290" s="320">
        <v>504000</v>
      </c>
      <c r="N2290" s="53">
        <v>719</v>
      </c>
      <c r="O2290" s="54">
        <v>360000</v>
      </c>
    </row>
    <row r="2291" spans="8:15" ht="15.75" thickBot="1" x14ac:dyDescent="0.3">
      <c r="H2291" s="319"/>
      <c r="I2291" s="313"/>
      <c r="J2291" s="315"/>
      <c r="K2291" s="317"/>
      <c r="L2291" s="319"/>
      <c r="M2291" s="321"/>
      <c r="N2291" s="55">
        <v>723</v>
      </c>
      <c r="O2291" s="56">
        <f>+M2290-O2290</f>
        <v>144000</v>
      </c>
    </row>
    <row r="2292" spans="8:15" ht="16.5" thickBot="1" x14ac:dyDescent="0.3">
      <c r="H2292" s="297" t="s">
        <v>80</v>
      </c>
      <c r="I2292" s="298"/>
      <c r="J2292" s="298"/>
      <c r="K2292" s="298"/>
      <c r="L2292" s="299"/>
      <c r="M2292" s="62">
        <f>SUM(M2282:M2291)</f>
        <v>1722000</v>
      </c>
    </row>
    <row r="2293" spans="8:15" ht="16.5" thickBot="1" x14ac:dyDescent="0.3">
      <c r="H2293" s="300" t="s">
        <v>81</v>
      </c>
      <c r="I2293" s="301"/>
      <c r="J2293" s="301"/>
      <c r="K2293" s="301"/>
      <c r="L2293" s="302"/>
      <c r="M2293" s="63">
        <f>+M2257</f>
        <v>92021522</v>
      </c>
      <c r="N2293" s="64" t="s">
        <v>82</v>
      </c>
      <c r="O2293" s="65">
        <f>875+40+72+1421+61</f>
        <v>2469</v>
      </c>
    </row>
    <row r="2294" spans="8:15" ht="16.5" thickBot="1" x14ac:dyDescent="0.3">
      <c r="H2294" s="303" t="s">
        <v>83</v>
      </c>
      <c r="I2294" s="304"/>
      <c r="J2294" s="304"/>
      <c r="K2294" s="304"/>
      <c r="L2294" s="305"/>
      <c r="M2294" s="66">
        <f>SUM(M2292:M2293)</f>
        <v>93743522</v>
      </c>
    </row>
    <row r="2295" spans="8:15" x14ac:dyDescent="0.25">
      <c r="H2295" s="67"/>
      <c r="I2295" s="67"/>
      <c r="J2295" s="67"/>
      <c r="K2295" s="67"/>
      <c r="L2295" s="67"/>
    </row>
    <row r="2296" spans="8:15" x14ac:dyDescent="0.25">
      <c r="H2296" s="41" t="s">
        <v>825</v>
      </c>
    </row>
    <row r="2297" spans="8:15" ht="12.75" customHeight="1" x14ac:dyDescent="0.25">
      <c r="M2297" s="68"/>
    </row>
    <row r="2298" spans="8:15" x14ac:dyDescent="0.25">
      <c r="H2298" s="40" t="s">
        <v>86</v>
      </c>
      <c r="K2298" s="69"/>
      <c r="M2298" s="68"/>
    </row>
    <row r="2299" spans="8:15" ht="13.5" customHeight="1" thickBot="1" x14ac:dyDescent="0.3"/>
    <row r="2300" spans="8:15" ht="15.75" thickBot="1" x14ac:dyDescent="0.3">
      <c r="H2300" s="306" t="s">
        <v>87</v>
      </c>
      <c r="I2300" s="307"/>
      <c r="J2300" s="307"/>
      <c r="K2300" s="308"/>
      <c r="M2300" s="40" t="s">
        <v>89</v>
      </c>
    </row>
    <row r="2301" spans="8:15" ht="30.75" thickBot="1" x14ac:dyDescent="0.3">
      <c r="H2301" s="70" t="s">
        <v>62</v>
      </c>
      <c r="I2301" s="71" t="s">
        <v>90</v>
      </c>
      <c r="J2301" s="204" t="s">
        <v>91</v>
      </c>
      <c r="K2301" s="73" t="s">
        <v>92</v>
      </c>
    </row>
    <row r="2302" spans="8:15" x14ac:dyDescent="0.25">
      <c r="H2302" s="75">
        <v>719</v>
      </c>
      <c r="I2302" s="76">
        <f>+O2282+O2284+O2286+O2288+O2290</f>
        <v>1230000</v>
      </c>
      <c r="J2302" s="77">
        <f>+K2265</f>
        <v>23150000</v>
      </c>
      <c r="K2302" s="79">
        <f>+I2302+J2302</f>
        <v>24380000</v>
      </c>
    </row>
    <row r="2303" spans="8:15" x14ac:dyDescent="0.25">
      <c r="H2303" s="80">
        <v>721</v>
      </c>
      <c r="I2303" s="81">
        <f>+O2283+O2285+O2287+O2289+O2291</f>
        <v>492000</v>
      </c>
      <c r="J2303" s="77">
        <f>+K2266</f>
        <v>85394059</v>
      </c>
      <c r="K2303" s="79">
        <f>+I2303+J2303</f>
        <v>85886059</v>
      </c>
    </row>
    <row r="2304" spans="8:15" x14ac:dyDescent="0.25">
      <c r="H2304" s="80">
        <v>722</v>
      </c>
      <c r="I2304" s="81"/>
      <c r="J2304" s="77">
        <f>+K2267</f>
        <v>0</v>
      </c>
      <c r="K2304" s="79">
        <f>+I2304+J2304</f>
        <v>0</v>
      </c>
    </row>
    <row r="2305" spans="8:15" ht="15.75" x14ac:dyDescent="0.25">
      <c r="H2305" s="80">
        <v>723</v>
      </c>
      <c r="I2305" s="81"/>
      <c r="J2305" s="77">
        <f>+K2268</f>
        <v>-16592537</v>
      </c>
      <c r="K2305" s="79">
        <f>+I2305+J2305</f>
        <v>-16592537</v>
      </c>
      <c r="M2305" s="109" t="s">
        <v>304</v>
      </c>
      <c r="N2305" s="84"/>
    </row>
    <row r="2306" spans="8:15" ht="16.5" thickBot="1" x14ac:dyDescent="0.3">
      <c r="H2306" s="85" t="s">
        <v>94</v>
      </c>
      <c r="I2306" s="86"/>
      <c r="J2306" s="77" t="e">
        <f>+K2269</f>
        <v>#REF!</v>
      </c>
      <c r="K2306" s="89" t="e">
        <f>+I2306+J2306</f>
        <v>#REF!</v>
      </c>
      <c r="M2306" s="45"/>
    </row>
    <row r="2307" spans="8:15" ht="16.5" thickBot="1" x14ac:dyDescent="0.3">
      <c r="H2307" s="90"/>
      <c r="I2307" s="94">
        <f>SUM(I2302:I2306)</f>
        <v>1722000</v>
      </c>
      <c r="J2307" s="94" t="e">
        <f>SUM(J2302:J2306)</f>
        <v>#REF!</v>
      </c>
      <c r="K2307" s="95" t="e">
        <f>SUM(K2302:K2306)</f>
        <v>#REF!</v>
      </c>
    </row>
    <row r="2308" spans="8:15" ht="16.5" x14ac:dyDescent="0.25">
      <c r="H2308" s="39" t="s">
        <v>46</v>
      </c>
      <c r="I2308" s="40"/>
    </row>
    <row r="2309" spans="8:15" x14ac:dyDescent="0.25">
      <c r="H2309" s="41" t="s">
        <v>47</v>
      </c>
    </row>
    <row r="2310" spans="8:15" x14ac:dyDescent="0.25">
      <c r="H2310" s="41" t="s">
        <v>48</v>
      </c>
    </row>
    <row r="2311" spans="8:15" x14ac:dyDescent="0.25">
      <c r="H2311" s="41" t="s">
        <v>49</v>
      </c>
    </row>
    <row r="2312" spans="8:15" ht="12.75" customHeight="1" x14ac:dyDescent="0.25">
      <c r="H2312" s="40"/>
      <c r="I2312" s="40"/>
    </row>
    <row r="2313" spans="8:15" ht="15.75" x14ac:dyDescent="0.25">
      <c r="H2313" s="188" t="s">
        <v>826</v>
      </c>
      <c r="N2313" s="45"/>
    </row>
    <row r="2314" spans="8:15" ht="15.75" x14ac:dyDescent="0.25">
      <c r="H2314" s="47" t="s">
        <v>704</v>
      </c>
      <c r="N2314" s="47"/>
    </row>
    <row r="2315" spans="8:15" ht="16.5" x14ac:dyDescent="0.25">
      <c r="H2315" s="326" t="s">
        <v>683</v>
      </c>
      <c r="I2315" s="326"/>
      <c r="J2315" s="326"/>
      <c r="K2315" s="326"/>
      <c r="L2315" s="326"/>
      <c r="M2315" s="326"/>
      <c r="N2315" s="326"/>
      <c r="O2315" s="326"/>
    </row>
    <row r="2316" spans="8:15" ht="15.75" thickBot="1" x14ac:dyDescent="0.3"/>
    <row r="2317" spans="8:15" x14ac:dyDescent="0.25">
      <c r="H2317" s="327" t="s">
        <v>56</v>
      </c>
      <c r="I2317" s="322" t="s">
        <v>57</v>
      </c>
      <c r="J2317" s="322" t="s">
        <v>58</v>
      </c>
      <c r="K2317" s="322" t="s">
        <v>7</v>
      </c>
      <c r="L2317" s="322" t="s">
        <v>59</v>
      </c>
      <c r="M2317" s="322" t="s">
        <v>60</v>
      </c>
      <c r="N2317" s="322" t="s">
        <v>61</v>
      </c>
      <c r="O2317" s="324"/>
    </row>
    <row r="2318" spans="8:15" ht="15.75" thickBot="1" x14ac:dyDescent="0.3">
      <c r="H2318" s="328"/>
      <c r="I2318" s="323"/>
      <c r="J2318" s="323"/>
      <c r="K2318" s="323"/>
      <c r="L2318" s="323"/>
      <c r="M2318" s="323"/>
      <c r="N2318" s="51" t="s">
        <v>62</v>
      </c>
      <c r="O2318" s="52" t="s">
        <v>63</v>
      </c>
    </row>
    <row r="2319" spans="8:15" ht="15" customHeight="1" x14ac:dyDescent="0.25">
      <c r="H2319" s="318">
        <v>252</v>
      </c>
      <c r="I2319" s="312">
        <v>42621</v>
      </c>
      <c r="J2319" s="314" t="s">
        <v>781</v>
      </c>
      <c r="K2319" s="316" t="s">
        <v>827</v>
      </c>
      <c r="L2319" s="318" t="s">
        <v>5</v>
      </c>
      <c r="M2319" s="320">
        <v>56000</v>
      </c>
      <c r="N2319" s="53">
        <v>719</v>
      </c>
      <c r="O2319" s="54">
        <v>40000</v>
      </c>
    </row>
    <row r="2320" spans="8:15" ht="15.75" customHeight="1" thickBot="1" x14ac:dyDescent="0.3">
      <c r="H2320" s="319"/>
      <c r="I2320" s="313"/>
      <c r="J2320" s="315"/>
      <c r="K2320" s="317"/>
      <c r="L2320" s="319"/>
      <c r="M2320" s="321"/>
      <c r="N2320" s="55">
        <v>721</v>
      </c>
      <c r="O2320" s="56">
        <f>+M2319-O2319</f>
        <v>16000</v>
      </c>
    </row>
    <row r="2321" spans="8:15" ht="15" customHeight="1" x14ac:dyDescent="0.25">
      <c r="H2321" s="318">
        <v>253</v>
      </c>
      <c r="I2321" s="312">
        <v>42621</v>
      </c>
      <c r="J2321" s="314" t="s">
        <v>70</v>
      </c>
      <c r="K2321" s="316" t="s">
        <v>828</v>
      </c>
      <c r="L2321" s="318" t="s">
        <v>5</v>
      </c>
      <c r="M2321" s="320">
        <v>252000</v>
      </c>
      <c r="N2321" s="53">
        <v>719</v>
      </c>
      <c r="O2321" s="54">
        <v>180000</v>
      </c>
    </row>
    <row r="2322" spans="8:15" ht="15.75" customHeight="1" thickBot="1" x14ac:dyDescent="0.3">
      <c r="H2322" s="319"/>
      <c r="I2322" s="313"/>
      <c r="J2322" s="315"/>
      <c r="K2322" s="317"/>
      <c r="L2322" s="319"/>
      <c r="M2322" s="321"/>
      <c r="N2322" s="55">
        <v>721</v>
      </c>
      <c r="O2322" s="56">
        <f>+M2321-O2321</f>
        <v>72000</v>
      </c>
    </row>
    <row r="2323" spans="8:15" ht="15" customHeight="1" x14ac:dyDescent="0.25">
      <c r="H2323" s="318">
        <v>254</v>
      </c>
      <c r="I2323" s="312">
        <v>42621</v>
      </c>
      <c r="J2323" s="314" t="s">
        <v>231</v>
      </c>
      <c r="K2323" s="316" t="s">
        <v>829</v>
      </c>
      <c r="L2323" s="318" t="s">
        <v>5</v>
      </c>
      <c r="M2323" s="320">
        <v>112000</v>
      </c>
      <c r="N2323" s="53">
        <v>719</v>
      </c>
      <c r="O2323" s="54">
        <v>80000</v>
      </c>
    </row>
    <row r="2324" spans="8:15" ht="15.75" customHeight="1" thickBot="1" x14ac:dyDescent="0.3">
      <c r="H2324" s="319"/>
      <c r="I2324" s="313"/>
      <c r="J2324" s="315"/>
      <c r="K2324" s="317"/>
      <c r="L2324" s="319"/>
      <c r="M2324" s="321"/>
      <c r="N2324" s="55">
        <v>721</v>
      </c>
      <c r="O2324" s="56">
        <f>+M2323-O2323</f>
        <v>32000</v>
      </c>
    </row>
    <row r="2325" spans="8:15" ht="15" customHeight="1" x14ac:dyDescent="0.25">
      <c r="H2325" s="318">
        <v>255</v>
      </c>
      <c r="I2325" s="312">
        <v>42621</v>
      </c>
      <c r="J2325" s="314" t="s">
        <v>231</v>
      </c>
      <c r="K2325" s="316" t="s">
        <v>828</v>
      </c>
      <c r="L2325" s="318" t="s">
        <v>5</v>
      </c>
      <c r="M2325" s="320">
        <v>56000</v>
      </c>
      <c r="N2325" s="53">
        <v>719</v>
      </c>
      <c r="O2325" s="54">
        <v>40000</v>
      </c>
    </row>
    <row r="2326" spans="8:15" ht="15.75" customHeight="1" thickBot="1" x14ac:dyDescent="0.3">
      <c r="H2326" s="319"/>
      <c r="I2326" s="313"/>
      <c r="J2326" s="315"/>
      <c r="K2326" s="317"/>
      <c r="L2326" s="319"/>
      <c r="M2326" s="321"/>
      <c r="N2326" s="55">
        <v>721</v>
      </c>
      <c r="O2326" s="56">
        <f>+M2325-O2325</f>
        <v>16000</v>
      </c>
    </row>
    <row r="2327" spans="8:15" x14ac:dyDescent="0.25">
      <c r="H2327" s="318"/>
      <c r="I2327" s="312"/>
      <c r="J2327" s="314"/>
      <c r="K2327" s="316"/>
      <c r="L2327" s="318"/>
      <c r="M2327" s="320"/>
      <c r="N2327" s="53">
        <v>719</v>
      </c>
      <c r="O2327" s="54"/>
    </row>
    <row r="2328" spans="8:15" ht="15.75" thickBot="1" x14ac:dyDescent="0.3">
      <c r="H2328" s="319"/>
      <c r="I2328" s="313"/>
      <c r="J2328" s="315"/>
      <c r="K2328" s="317"/>
      <c r="L2328" s="319"/>
      <c r="M2328" s="321"/>
      <c r="N2328" s="55">
        <v>723</v>
      </c>
      <c r="O2328" s="56">
        <f>+M2327-O2327</f>
        <v>0</v>
      </c>
    </row>
    <row r="2329" spans="8:15" ht="16.5" thickBot="1" x14ac:dyDescent="0.3">
      <c r="H2329" s="297" t="s">
        <v>80</v>
      </c>
      <c r="I2329" s="298"/>
      <c r="J2329" s="298"/>
      <c r="K2329" s="298"/>
      <c r="L2329" s="299"/>
      <c r="M2329" s="62">
        <f>SUM(M2319:M2328)</f>
        <v>476000</v>
      </c>
    </row>
    <row r="2330" spans="8:15" ht="16.5" thickBot="1" x14ac:dyDescent="0.3">
      <c r="H2330" s="300" t="s">
        <v>81</v>
      </c>
      <c r="I2330" s="301"/>
      <c r="J2330" s="301"/>
      <c r="K2330" s="301"/>
      <c r="L2330" s="302"/>
      <c r="M2330" s="63">
        <f>+M2294</f>
        <v>93743522</v>
      </c>
      <c r="N2330" s="64" t="s">
        <v>82</v>
      </c>
      <c r="O2330" s="65">
        <f>451+25+37+18</f>
        <v>531</v>
      </c>
    </row>
    <row r="2331" spans="8:15" ht="16.5" thickBot="1" x14ac:dyDescent="0.3">
      <c r="H2331" s="303" t="s">
        <v>83</v>
      </c>
      <c r="I2331" s="304"/>
      <c r="J2331" s="304"/>
      <c r="K2331" s="304"/>
      <c r="L2331" s="305"/>
      <c r="M2331" s="66">
        <f>SUM(M2329:M2330)</f>
        <v>94219522</v>
      </c>
    </row>
    <row r="2332" spans="8:15" x14ac:dyDescent="0.25">
      <c r="H2332" s="67"/>
      <c r="I2332" s="67"/>
      <c r="J2332" s="67"/>
      <c r="K2332" s="67"/>
      <c r="L2332" s="67"/>
    </row>
    <row r="2333" spans="8:15" x14ac:dyDescent="0.25">
      <c r="H2333" s="41" t="s">
        <v>830</v>
      </c>
    </row>
    <row r="2334" spans="8:15" ht="12" customHeight="1" x14ac:dyDescent="0.25">
      <c r="M2334" s="68"/>
    </row>
    <row r="2335" spans="8:15" x14ac:dyDescent="0.25">
      <c r="H2335" s="40" t="s">
        <v>86</v>
      </c>
      <c r="K2335" s="69"/>
      <c r="M2335" s="68"/>
    </row>
    <row r="2336" spans="8:15" ht="12.75" customHeight="1" thickBot="1" x14ac:dyDescent="0.3"/>
    <row r="2337" spans="8:15" ht="15.75" thickBot="1" x14ac:dyDescent="0.3">
      <c r="H2337" s="306" t="s">
        <v>87</v>
      </c>
      <c r="I2337" s="307"/>
      <c r="J2337" s="307"/>
      <c r="K2337" s="308"/>
      <c r="M2337" s="40" t="s">
        <v>89</v>
      </c>
    </row>
    <row r="2338" spans="8:15" ht="30.75" thickBot="1" x14ac:dyDescent="0.3">
      <c r="H2338" s="70" t="s">
        <v>62</v>
      </c>
      <c r="I2338" s="71" t="s">
        <v>90</v>
      </c>
      <c r="J2338" s="204" t="s">
        <v>91</v>
      </c>
      <c r="K2338" s="73" t="s">
        <v>92</v>
      </c>
    </row>
    <row r="2339" spans="8:15" x14ac:dyDescent="0.25">
      <c r="H2339" s="75">
        <v>719</v>
      </c>
      <c r="I2339" s="76">
        <f>+O2319+O2321+O2323+O2325+O2327</f>
        <v>340000</v>
      </c>
      <c r="J2339" s="77">
        <f>+K2302</f>
        <v>24380000</v>
      </c>
      <c r="K2339" s="79">
        <f>+I2339+J2339</f>
        <v>24720000</v>
      </c>
    </row>
    <row r="2340" spans="8:15" x14ac:dyDescent="0.25">
      <c r="H2340" s="80">
        <v>721</v>
      </c>
      <c r="I2340" s="81">
        <f>+O2320+O2322+O2324+O2326+O2328</f>
        <v>136000</v>
      </c>
      <c r="J2340" s="77">
        <f>+K2303</f>
        <v>85886059</v>
      </c>
      <c r="K2340" s="79">
        <f>+I2340+J2340</f>
        <v>86022059</v>
      </c>
    </row>
    <row r="2341" spans="8:15" x14ac:dyDescent="0.25">
      <c r="H2341" s="80">
        <v>722</v>
      </c>
      <c r="I2341" s="81"/>
      <c r="J2341" s="77">
        <f>+K2304</f>
        <v>0</v>
      </c>
      <c r="K2341" s="79">
        <f>+I2341+J2341</f>
        <v>0</v>
      </c>
    </row>
    <row r="2342" spans="8:15" ht="15.75" x14ac:dyDescent="0.25">
      <c r="H2342" s="80">
        <v>723</v>
      </c>
      <c r="I2342" s="81"/>
      <c r="J2342" s="77">
        <f>+K2305</f>
        <v>-16592537</v>
      </c>
      <c r="K2342" s="79">
        <f>+I2342+J2342</f>
        <v>-16592537</v>
      </c>
      <c r="M2342" s="109" t="s">
        <v>304</v>
      </c>
      <c r="N2342" s="84"/>
    </row>
    <row r="2343" spans="8:15" ht="16.5" thickBot="1" x14ac:dyDescent="0.3">
      <c r="H2343" s="85" t="s">
        <v>94</v>
      </c>
      <c r="I2343" s="86"/>
      <c r="J2343" s="77" t="e">
        <f>+K2306</f>
        <v>#REF!</v>
      </c>
      <c r="K2343" s="89" t="e">
        <f>+I2343+J2343</f>
        <v>#REF!</v>
      </c>
      <c r="M2343" s="45"/>
    </row>
    <row r="2344" spans="8:15" ht="16.5" thickBot="1" x14ac:dyDescent="0.3">
      <c r="H2344" s="90"/>
      <c r="I2344" s="94">
        <f>SUM(I2339:I2343)</f>
        <v>476000</v>
      </c>
      <c r="J2344" s="94" t="e">
        <f>SUM(J2339:J2343)</f>
        <v>#REF!</v>
      </c>
      <c r="K2344" s="95" t="e">
        <f>SUM(K2339:K2343)</f>
        <v>#REF!</v>
      </c>
    </row>
    <row r="2345" spans="8:15" ht="16.5" x14ac:dyDescent="0.25">
      <c r="H2345" s="39" t="s">
        <v>46</v>
      </c>
      <c r="I2345" s="40"/>
    </row>
    <row r="2346" spans="8:15" x14ac:dyDescent="0.25">
      <c r="H2346" s="41" t="s">
        <v>47</v>
      </c>
    </row>
    <row r="2347" spans="8:15" x14ac:dyDescent="0.25">
      <c r="H2347" s="41" t="s">
        <v>48</v>
      </c>
    </row>
    <row r="2348" spans="8:15" x14ac:dyDescent="0.25">
      <c r="H2348" s="41" t="s">
        <v>49</v>
      </c>
    </row>
    <row r="2349" spans="8:15" ht="12" customHeight="1" x14ac:dyDescent="0.25">
      <c r="H2349" s="40"/>
      <c r="I2349" s="40"/>
    </row>
    <row r="2350" spans="8:15" ht="15.75" x14ac:dyDescent="0.25">
      <c r="H2350" s="188" t="s">
        <v>831</v>
      </c>
      <c r="N2350" s="45"/>
    </row>
    <row r="2351" spans="8:15" ht="15.75" x14ac:dyDescent="0.25">
      <c r="H2351" s="47" t="s">
        <v>704</v>
      </c>
      <c r="N2351" s="47"/>
    </row>
    <row r="2352" spans="8:15" ht="16.5" x14ac:dyDescent="0.25">
      <c r="H2352" s="326" t="s">
        <v>832</v>
      </c>
      <c r="I2352" s="326"/>
      <c r="J2352" s="326"/>
      <c r="K2352" s="326"/>
      <c r="L2352" s="326"/>
      <c r="M2352" s="326"/>
      <c r="N2352" s="326"/>
      <c r="O2352" s="326"/>
    </row>
    <row r="2353" spans="8:15" ht="15.75" thickBot="1" x14ac:dyDescent="0.3"/>
    <row r="2354" spans="8:15" x14ac:dyDescent="0.25">
      <c r="H2354" s="327" t="s">
        <v>56</v>
      </c>
      <c r="I2354" s="322" t="s">
        <v>57</v>
      </c>
      <c r="J2354" s="322" t="s">
        <v>58</v>
      </c>
      <c r="K2354" s="322" t="s">
        <v>7</v>
      </c>
      <c r="L2354" s="322" t="s">
        <v>59</v>
      </c>
      <c r="M2354" s="322" t="s">
        <v>60</v>
      </c>
      <c r="N2354" s="322" t="s">
        <v>61</v>
      </c>
      <c r="O2354" s="324"/>
    </row>
    <row r="2355" spans="8:15" ht="15.75" thickBot="1" x14ac:dyDescent="0.3">
      <c r="H2355" s="328"/>
      <c r="I2355" s="323"/>
      <c r="J2355" s="323"/>
      <c r="K2355" s="323"/>
      <c r="L2355" s="323"/>
      <c r="M2355" s="323"/>
      <c r="N2355" s="51" t="s">
        <v>62</v>
      </c>
      <c r="O2355" s="52" t="s">
        <v>63</v>
      </c>
    </row>
    <row r="2356" spans="8:15" x14ac:dyDescent="0.25">
      <c r="H2356" s="318">
        <v>256</v>
      </c>
      <c r="I2356" s="312">
        <v>42622</v>
      </c>
      <c r="J2356" s="314" t="s">
        <v>833</v>
      </c>
      <c r="K2356" s="316" t="s">
        <v>834</v>
      </c>
      <c r="L2356" s="318" t="s">
        <v>5</v>
      </c>
      <c r="M2356" s="320">
        <v>2000000</v>
      </c>
      <c r="N2356" s="53">
        <v>722</v>
      </c>
      <c r="O2356" s="54">
        <v>2000000</v>
      </c>
    </row>
    <row r="2357" spans="8:15" ht="15.75" thickBot="1" x14ac:dyDescent="0.3">
      <c r="H2357" s="319"/>
      <c r="I2357" s="313"/>
      <c r="J2357" s="315"/>
      <c r="K2357" s="317"/>
      <c r="L2357" s="319"/>
      <c r="M2357" s="321"/>
      <c r="N2357" s="55">
        <v>721</v>
      </c>
      <c r="O2357" s="56">
        <f>+M2356-O2356</f>
        <v>0</v>
      </c>
    </row>
    <row r="2358" spans="8:15" x14ac:dyDescent="0.25">
      <c r="H2358" s="318"/>
      <c r="I2358" s="312"/>
      <c r="J2358" s="314"/>
      <c r="K2358" s="316"/>
      <c r="L2358" s="318"/>
      <c r="M2358" s="320"/>
      <c r="N2358" s="53">
        <v>719</v>
      </c>
      <c r="O2358" s="54"/>
    </row>
    <row r="2359" spans="8:15" ht="15.75" thickBot="1" x14ac:dyDescent="0.3">
      <c r="H2359" s="319"/>
      <c r="I2359" s="313"/>
      <c r="J2359" s="315"/>
      <c r="K2359" s="317"/>
      <c r="L2359" s="319"/>
      <c r="M2359" s="321"/>
      <c r="N2359" s="55">
        <v>721</v>
      </c>
      <c r="O2359" s="56">
        <f>+M2358-O2358</f>
        <v>0</v>
      </c>
    </row>
    <row r="2360" spans="8:15" x14ac:dyDescent="0.25">
      <c r="H2360" s="318"/>
      <c r="I2360" s="312"/>
      <c r="J2360" s="314"/>
      <c r="K2360" s="316"/>
      <c r="L2360" s="318"/>
      <c r="M2360" s="320"/>
      <c r="N2360" s="53">
        <v>719</v>
      </c>
      <c r="O2360" s="54"/>
    </row>
    <row r="2361" spans="8:15" ht="13.5" customHeight="1" thickBot="1" x14ac:dyDescent="0.3">
      <c r="H2361" s="319"/>
      <c r="I2361" s="313"/>
      <c r="J2361" s="315"/>
      <c r="K2361" s="317"/>
      <c r="L2361" s="319"/>
      <c r="M2361" s="321"/>
      <c r="N2361" s="55">
        <v>721</v>
      </c>
      <c r="O2361" s="56">
        <f>+M2360-O2360</f>
        <v>0</v>
      </c>
    </row>
    <row r="2362" spans="8:15" x14ac:dyDescent="0.25">
      <c r="H2362" s="318"/>
      <c r="I2362" s="312"/>
      <c r="J2362" s="314"/>
      <c r="K2362" s="316"/>
      <c r="L2362" s="318"/>
      <c r="M2362" s="320"/>
      <c r="N2362" s="53">
        <v>719</v>
      </c>
      <c r="O2362" s="54"/>
    </row>
    <row r="2363" spans="8:15" ht="15.75" thickBot="1" x14ac:dyDescent="0.3">
      <c r="H2363" s="319"/>
      <c r="I2363" s="313"/>
      <c r="J2363" s="315"/>
      <c r="K2363" s="317"/>
      <c r="L2363" s="319"/>
      <c r="M2363" s="321"/>
      <c r="N2363" s="55">
        <v>721</v>
      </c>
      <c r="O2363" s="56">
        <f>+M2362-O2362</f>
        <v>0</v>
      </c>
    </row>
    <row r="2364" spans="8:15" x14ac:dyDescent="0.25">
      <c r="H2364" s="318"/>
      <c r="I2364" s="312"/>
      <c r="J2364" s="314"/>
      <c r="K2364" s="316"/>
      <c r="L2364" s="318"/>
      <c r="M2364" s="320"/>
      <c r="N2364" s="53">
        <v>719</v>
      </c>
      <c r="O2364" s="54"/>
    </row>
    <row r="2365" spans="8:15" ht="12" customHeight="1" thickBot="1" x14ac:dyDescent="0.3">
      <c r="H2365" s="319"/>
      <c r="I2365" s="313"/>
      <c r="J2365" s="315"/>
      <c r="K2365" s="317"/>
      <c r="L2365" s="319"/>
      <c r="M2365" s="321"/>
      <c r="N2365" s="55">
        <v>723</v>
      </c>
      <c r="O2365" s="56">
        <f>+M2364-O2364</f>
        <v>0</v>
      </c>
    </row>
    <row r="2366" spans="8:15" ht="16.5" thickBot="1" x14ac:dyDescent="0.3">
      <c r="H2366" s="297" t="s">
        <v>80</v>
      </c>
      <c r="I2366" s="298"/>
      <c r="J2366" s="298"/>
      <c r="K2366" s="298"/>
      <c r="L2366" s="299"/>
      <c r="M2366" s="62">
        <f>SUM(M2356:M2365)</f>
        <v>2000000</v>
      </c>
    </row>
    <row r="2367" spans="8:15" ht="16.5" thickBot="1" x14ac:dyDescent="0.3">
      <c r="H2367" s="300" t="s">
        <v>81</v>
      </c>
      <c r="I2367" s="301"/>
      <c r="J2367" s="301"/>
      <c r="K2367" s="301"/>
      <c r="L2367" s="302"/>
      <c r="M2367" s="63">
        <f>+M2331</f>
        <v>94219522</v>
      </c>
      <c r="N2367" s="64" t="s">
        <v>82</v>
      </c>
      <c r="O2367" s="65">
        <v>0</v>
      </c>
    </row>
    <row r="2368" spans="8:15" ht="16.5" thickBot="1" x14ac:dyDescent="0.3">
      <c r="H2368" s="303" t="s">
        <v>83</v>
      </c>
      <c r="I2368" s="304"/>
      <c r="J2368" s="304"/>
      <c r="K2368" s="304"/>
      <c r="L2368" s="305"/>
      <c r="M2368" s="66">
        <f>SUM(M2366:M2367)</f>
        <v>96219522</v>
      </c>
    </row>
    <row r="2369" spans="8:14" x14ac:dyDescent="0.25">
      <c r="H2369" s="67"/>
      <c r="I2369" s="67"/>
      <c r="J2369" s="67"/>
      <c r="K2369" s="67"/>
      <c r="L2369" s="67"/>
    </row>
    <row r="2370" spans="8:14" x14ac:dyDescent="0.25">
      <c r="H2370" s="41" t="s">
        <v>835</v>
      </c>
    </row>
    <row r="2371" spans="8:14" ht="12" customHeight="1" x14ac:dyDescent="0.25">
      <c r="M2371" s="68"/>
    </row>
    <row r="2372" spans="8:14" x14ac:dyDescent="0.25">
      <c r="H2372" s="40" t="s">
        <v>86</v>
      </c>
      <c r="K2372" s="69"/>
      <c r="M2372" s="68"/>
    </row>
    <row r="2373" spans="8:14" ht="15.75" thickBot="1" x14ac:dyDescent="0.3"/>
    <row r="2374" spans="8:14" ht="15.75" thickBot="1" x14ac:dyDescent="0.3">
      <c r="H2374" s="306" t="s">
        <v>87</v>
      </c>
      <c r="I2374" s="307"/>
      <c r="J2374" s="307"/>
      <c r="K2374" s="308"/>
      <c r="M2374" s="40" t="s">
        <v>89</v>
      </c>
    </row>
    <row r="2375" spans="8:14" ht="30.75" thickBot="1" x14ac:dyDescent="0.3">
      <c r="H2375" s="70" t="s">
        <v>62</v>
      </c>
      <c r="I2375" s="71" t="s">
        <v>90</v>
      </c>
      <c r="J2375" s="204" t="s">
        <v>91</v>
      </c>
      <c r="K2375" s="73" t="s">
        <v>92</v>
      </c>
    </row>
    <row r="2376" spans="8:14" x14ac:dyDescent="0.25">
      <c r="H2376" s="75">
        <v>719</v>
      </c>
      <c r="I2376" s="76"/>
      <c r="J2376" s="77">
        <f>+K2339</f>
        <v>24720000</v>
      </c>
      <c r="K2376" s="79">
        <f>+I2376+J2376</f>
        <v>24720000</v>
      </c>
    </row>
    <row r="2377" spans="8:14" x14ac:dyDescent="0.25">
      <c r="H2377" s="80">
        <v>721</v>
      </c>
      <c r="I2377" s="81">
        <f>+O2357+O2359+O2361+O2363+O2365</f>
        <v>0</v>
      </c>
      <c r="J2377" s="77">
        <f>+K2340</f>
        <v>86022059</v>
      </c>
      <c r="K2377" s="79">
        <f>+I2377+J2377</f>
        <v>86022059</v>
      </c>
    </row>
    <row r="2378" spans="8:14" x14ac:dyDescent="0.25">
      <c r="H2378" s="80">
        <v>722</v>
      </c>
      <c r="I2378" s="81">
        <f>+O2356</f>
        <v>2000000</v>
      </c>
      <c r="J2378" s="77">
        <f>+K2341</f>
        <v>0</v>
      </c>
      <c r="K2378" s="79">
        <f>+I2378+J2378</f>
        <v>2000000</v>
      </c>
    </row>
    <row r="2379" spans="8:14" ht="15.75" x14ac:dyDescent="0.25">
      <c r="H2379" s="80">
        <v>723</v>
      </c>
      <c r="I2379" s="81"/>
      <c r="J2379" s="77">
        <f>K2382</f>
        <v>0</v>
      </c>
      <c r="K2379" s="79">
        <f>+I2379+J2379</f>
        <v>0</v>
      </c>
      <c r="M2379" s="109" t="s">
        <v>304</v>
      </c>
      <c r="N2379" s="84"/>
    </row>
    <row r="2380" spans="8:14" ht="16.5" thickBot="1" x14ac:dyDescent="0.3">
      <c r="H2380" s="85" t="s">
        <v>94</v>
      </c>
      <c r="I2380" s="86"/>
      <c r="J2380" s="77" t="e">
        <f>+K2343</f>
        <v>#REF!</v>
      </c>
      <c r="K2380" s="89" t="e">
        <f>+I2380+J2380</f>
        <v>#REF!</v>
      </c>
      <c r="M2380" s="45"/>
    </row>
    <row r="2381" spans="8:14" ht="16.5" thickBot="1" x14ac:dyDescent="0.3">
      <c r="H2381" s="90"/>
      <c r="I2381" s="94">
        <f>SUM(I2376:I2380)</f>
        <v>2000000</v>
      </c>
      <c r="J2381" s="94" t="e">
        <f>SUM(J2376:J2380)</f>
        <v>#REF!</v>
      </c>
      <c r="K2381" s="95" t="e">
        <f>SUM(K2376:K2380)</f>
        <v>#REF!</v>
      </c>
    </row>
    <row r="2382" spans="8:14" ht="16.5" x14ac:dyDescent="0.25">
      <c r="H2382" s="39" t="s">
        <v>46</v>
      </c>
      <c r="I2382" s="40"/>
    </row>
    <row r="2383" spans="8:14" x14ac:dyDescent="0.25">
      <c r="H2383" s="41" t="s">
        <v>47</v>
      </c>
    </row>
    <row r="2384" spans="8:14" x14ac:dyDescent="0.25">
      <c r="H2384" s="41" t="s">
        <v>48</v>
      </c>
    </row>
    <row r="2385" spans="8:15" x14ac:dyDescent="0.25">
      <c r="H2385" s="41" t="s">
        <v>49</v>
      </c>
    </row>
    <row r="2386" spans="8:15" ht="12" customHeight="1" x14ac:dyDescent="0.25">
      <c r="H2386" s="40"/>
      <c r="I2386" s="40"/>
    </row>
    <row r="2387" spans="8:15" ht="15.75" x14ac:dyDescent="0.25">
      <c r="H2387" s="188" t="s">
        <v>836</v>
      </c>
      <c r="N2387" s="45"/>
    </row>
    <row r="2388" spans="8:15" ht="15.75" x14ac:dyDescent="0.25">
      <c r="H2388" s="47" t="s">
        <v>704</v>
      </c>
      <c r="N2388" s="47"/>
    </row>
    <row r="2389" spans="8:15" ht="16.5" x14ac:dyDescent="0.25">
      <c r="H2389" s="326" t="s">
        <v>683</v>
      </c>
      <c r="I2389" s="326"/>
      <c r="J2389" s="326"/>
      <c r="K2389" s="326"/>
      <c r="L2389" s="326"/>
      <c r="M2389" s="326"/>
      <c r="N2389" s="326"/>
      <c r="O2389" s="326"/>
    </row>
    <row r="2390" spans="8:15" ht="15.75" thickBot="1" x14ac:dyDescent="0.3"/>
    <row r="2391" spans="8:15" x14ac:dyDescent="0.25">
      <c r="H2391" s="327" t="s">
        <v>56</v>
      </c>
      <c r="I2391" s="322" t="s">
        <v>57</v>
      </c>
      <c r="J2391" s="322" t="s">
        <v>58</v>
      </c>
      <c r="K2391" s="322" t="s">
        <v>7</v>
      </c>
      <c r="L2391" s="322" t="s">
        <v>59</v>
      </c>
      <c r="M2391" s="322" t="s">
        <v>60</v>
      </c>
      <c r="N2391" s="322" t="s">
        <v>61</v>
      </c>
      <c r="O2391" s="324"/>
    </row>
    <row r="2392" spans="8:15" ht="15.75" thickBot="1" x14ac:dyDescent="0.3">
      <c r="H2392" s="328"/>
      <c r="I2392" s="323"/>
      <c r="J2392" s="323"/>
      <c r="K2392" s="323"/>
      <c r="L2392" s="323"/>
      <c r="M2392" s="323"/>
      <c r="N2392" s="51" t="s">
        <v>62</v>
      </c>
      <c r="O2392" s="52" t="s">
        <v>63</v>
      </c>
    </row>
    <row r="2393" spans="8:15" ht="15" customHeight="1" x14ac:dyDescent="0.25">
      <c r="H2393" s="318">
        <v>257</v>
      </c>
      <c r="I2393" s="312">
        <v>42622</v>
      </c>
      <c r="J2393" s="314" t="s">
        <v>798</v>
      </c>
      <c r="K2393" s="316" t="s">
        <v>837</v>
      </c>
      <c r="L2393" s="318" t="s">
        <v>66</v>
      </c>
      <c r="M2393" s="320">
        <v>60000</v>
      </c>
      <c r="N2393" s="53">
        <v>719</v>
      </c>
      <c r="O2393" s="54">
        <v>60000</v>
      </c>
    </row>
    <row r="2394" spans="8:15" ht="15.75" customHeight="1" thickBot="1" x14ac:dyDescent="0.3">
      <c r="H2394" s="319"/>
      <c r="I2394" s="313"/>
      <c r="J2394" s="315"/>
      <c r="K2394" s="317"/>
      <c r="L2394" s="319"/>
      <c r="M2394" s="321"/>
      <c r="N2394" s="55">
        <v>721</v>
      </c>
      <c r="O2394" s="56">
        <f>+M2393-O2393</f>
        <v>0</v>
      </c>
    </row>
    <row r="2395" spans="8:15" ht="15" customHeight="1" x14ac:dyDescent="0.25">
      <c r="H2395" s="318">
        <v>258</v>
      </c>
      <c r="I2395" s="312">
        <v>42622</v>
      </c>
      <c r="J2395" s="314" t="s">
        <v>70</v>
      </c>
      <c r="K2395" s="316" t="s">
        <v>838</v>
      </c>
      <c r="L2395" s="318" t="s">
        <v>66</v>
      </c>
      <c r="M2395" s="320">
        <v>50000</v>
      </c>
      <c r="N2395" s="53">
        <v>719</v>
      </c>
      <c r="O2395" s="54">
        <v>50000</v>
      </c>
    </row>
    <row r="2396" spans="8:15" ht="15.75" customHeight="1" thickBot="1" x14ac:dyDescent="0.3">
      <c r="H2396" s="319"/>
      <c r="I2396" s="313"/>
      <c r="J2396" s="315"/>
      <c r="K2396" s="317"/>
      <c r="L2396" s="319"/>
      <c r="M2396" s="321"/>
      <c r="N2396" s="55">
        <v>721</v>
      </c>
      <c r="O2396" s="56">
        <f>+M2395-O2395</f>
        <v>0</v>
      </c>
    </row>
    <row r="2397" spans="8:15" x14ac:dyDescent="0.25">
      <c r="H2397" s="318"/>
      <c r="I2397" s="312"/>
      <c r="J2397" s="314"/>
      <c r="K2397" s="316"/>
      <c r="L2397" s="318"/>
      <c r="M2397" s="320"/>
      <c r="N2397" s="53">
        <v>719</v>
      </c>
      <c r="O2397" s="54"/>
    </row>
    <row r="2398" spans="8:15" ht="15.75" thickBot="1" x14ac:dyDescent="0.3">
      <c r="H2398" s="319"/>
      <c r="I2398" s="313"/>
      <c r="J2398" s="315"/>
      <c r="K2398" s="317"/>
      <c r="L2398" s="319"/>
      <c r="M2398" s="321"/>
      <c r="N2398" s="55">
        <v>721</v>
      </c>
      <c r="O2398" s="56">
        <f>+M2397-O2397</f>
        <v>0</v>
      </c>
    </row>
    <row r="2399" spans="8:15" x14ac:dyDescent="0.25">
      <c r="H2399" s="318"/>
      <c r="I2399" s="312"/>
      <c r="J2399" s="314"/>
      <c r="K2399" s="316"/>
      <c r="L2399" s="318"/>
      <c r="M2399" s="320"/>
      <c r="N2399" s="53">
        <v>719</v>
      </c>
      <c r="O2399" s="54"/>
    </row>
    <row r="2400" spans="8:15" ht="15.75" thickBot="1" x14ac:dyDescent="0.3">
      <c r="H2400" s="319"/>
      <c r="I2400" s="313"/>
      <c r="J2400" s="315"/>
      <c r="K2400" s="317"/>
      <c r="L2400" s="319"/>
      <c r="M2400" s="321"/>
      <c r="N2400" s="55">
        <v>721</v>
      </c>
      <c r="O2400" s="56">
        <f>+M2399-O2399</f>
        <v>0</v>
      </c>
    </row>
    <row r="2401" spans="8:15" x14ac:dyDescent="0.25">
      <c r="H2401" s="318"/>
      <c r="I2401" s="312"/>
      <c r="J2401" s="314"/>
      <c r="K2401" s="316"/>
      <c r="L2401" s="318"/>
      <c r="M2401" s="320"/>
      <c r="N2401" s="53">
        <v>719</v>
      </c>
      <c r="O2401" s="54"/>
    </row>
    <row r="2402" spans="8:15" ht="15.75" thickBot="1" x14ac:dyDescent="0.3">
      <c r="H2402" s="319"/>
      <c r="I2402" s="313"/>
      <c r="J2402" s="315"/>
      <c r="K2402" s="317"/>
      <c r="L2402" s="319"/>
      <c r="M2402" s="321"/>
      <c r="N2402" s="55">
        <v>723</v>
      </c>
      <c r="O2402" s="56">
        <f>+M2401-O2401</f>
        <v>0</v>
      </c>
    </row>
    <row r="2403" spans="8:15" ht="16.5" thickBot="1" x14ac:dyDescent="0.3">
      <c r="H2403" s="297" t="s">
        <v>80</v>
      </c>
      <c r="I2403" s="298"/>
      <c r="J2403" s="298"/>
      <c r="K2403" s="298"/>
      <c r="L2403" s="299"/>
      <c r="M2403" s="62">
        <f>SUM(M2393:M2402)</f>
        <v>110000</v>
      </c>
    </row>
    <row r="2404" spans="8:15" ht="16.5" thickBot="1" x14ac:dyDescent="0.3">
      <c r="H2404" s="300" t="s">
        <v>81</v>
      </c>
      <c r="I2404" s="301"/>
      <c r="J2404" s="301"/>
      <c r="K2404" s="301"/>
      <c r="L2404" s="302"/>
      <c r="M2404" s="63">
        <f>+M2368</f>
        <v>96219522</v>
      </c>
      <c r="N2404" s="64" t="s">
        <v>82</v>
      </c>
      <c r="O2404" s="65">
        <f>123+195</f>
        <v>318</v>
      </c>
    </row>
    <row r="2405" spans="8:15" ht="16.5" thickBot="1" x14ac:dyDescent="0.3">
      <c r="H2405" s="303" t="s">
        <v>83</v>
      </c>
      <c r="I2405" s="304"/>
      <c r="J2405" s="304"/>
      <c r="K2405" s="304"/>
      <c r="L2405" s="305"/>
      <c r="M2405" s="66">
        <f>SUM(M2403:M2404)</f>
        <v>96329522</v>
      </c>
    </row>
    <row r="2406" spans="8:15" x14ac:dyDescent="0.25">
      <c r="H2406" s="67"/>
      <c r="I2406" s="67"/>
      <c r="J2406" s="67"/>
      <c r="K2406" s="67"/>
      <c r="L2406" s="67"/>
    </row>
    <row r="2407" spans="8:15" x14ac:dyDescent="0.25">
      <c r="H2407" s="41" t="s">
        <v>839</v>
      </c>
    </row>
    <row r="2408" spans="8:15" ht="12" customHeight="1" x14ac:dyDescent="0.25">
      <c r="M2408" s="68"/>
    </row>
    <row r="2409" spans="8:15" x14ac:dyDescent="0.25">
      <c r="H2409" s="40" t="s">
        <v>86</v>
      </c>
      <c r="K2409" s="69"/>
      <c r="M2409" s="68"/>
    </row>
    <row r="2410" spans="8:15" ht="12.75" customHeight="1" thickBot="1" x14ac:dyDescent="0.3"/>
    <row r="2411" spans="8:15" ht="15.75" thickBot="1" x14ac:dyDescent="0.3">
      <c r="H2411" s="306" t="s">
        <v>87</v>
      </c>
      <c r="I2411" s="307"/>
      <c r="J2411" s="307"/>
      <c r="K2411" s="308"/>
      <c r="M2411" s="40" t="s">
        <v>89</v>
      </c>
    </row>
    <row r="2412" spans="8:15" ht="30.75" thickBot="1" x14ac:dyDescent="0.3">
      <c r="H2412" s="70" t="s">
        <v>62</v>
      </c>
      <c r="I2412" s="71" t="s">
        <v>90</v>
      </c>
      <c r="J2412" s="204" t="s">
        <v>91</v>
      </c>
      <c r="K2412" s="73" t="s">
        <v>92</v>
      </c>
    </row>
    <row r="2413" spans="8:15" x14ac:dyDescent="0.25">
      <c r="H2413" s="75">
        <v>719</v>
      </c>
      <c r="I2413" s="76">
        <f>+O2393+O2395</f>
        <v>110000</v>
      </c>
      <c r="J2413" s="77">
        <f>+K2376</f>
        <v>24720000</v>
      </c>
      <c r="K2413" s="79">
        <f>+I2413+J2413</f>
        <v>24830000</v>
      </c>
    </row>
    <row r="2414" spans="8:15" x14ac:dyDescent="0.25">
      <c r="H2414" s="80">
        <v>721</v>
      </c>
      <c r="I2414" s="81">
        <f>+O2394+O2396+O2398+O2400+O2402</f>
        <v>0</v>
      </c>
      <c r="J2414" s="77">
        <f>+K2377</f>
        <v>86022059</v>
      </c>
      <c r="K2414" s="79">
        <f>+I2414+J2414</f>
        <v>86022059</v>
      </c>
    </row>
    <row r="2415" spans="8:15" x14ac:dyDescent="0.25">
      <c r="H2415" s="80">
        <v>722</v>
      </c>
      <c r="I2415" s="81"/>
      <c r="J2415" s="77">
        <f>+K2378</f>
        <v>2000000</v>
      </c>
      <c r="K2415" s="79">
        <f>+I2415+J2415</f>
        <v>2000000</v>
      </c>
    </row>
    <row r="2416" spans="8:15" ht="15.75" x14ac:dyDescent="0.25">
      <c r="H2416" s="80">
        <v>723</v>
      </c>
      <c r="I2416" s="81"/>
      <c r="J2416" s="77">
        <f>+K2379</f>
        <v>0</v>
      </c>
      <c r="K2416" s="79">
        <f>+I2416+J2416</f>
        <v>0</v>
      </c>
      <c r="M2416" s="109" t="s">
        <v>304</v>
      </c>
      <c r="N2416" s="84"/>
    </row>
    <row r="2417" spans="8:15" ht="16.5" thickBot="1" x14ac:dyDescent="0.3">
      <c r="H2417" s="85" t="s">
        <v>94</v>
      </c>
      <c r="I2417" s="86"/>
      <c r="J2417" s="77" t="e">
        <f>+K2380</f>
        <v>#REF!</v>
      </c>
      <c r="K2417" s="89" t="e">
        <f>+I2417+J2417</f>
        <v>#REF!</v>
      </c>
      <c r="M2417" s="45"/>
    </row>
    <row r="2418" spans="8:15" ht="16.5" thickBot="1" x14ac:dyDescent="0.3">
      <c r="H2418" s="90"/>
      <c r="I2418" s="94">
        <f>SUM(I2413:I2417)</f>
        <v>110000</v>
      </c>
      <c r="J2418" s="94" t="e">
        <f>SUM(J2413:J2417)</f>
        <v>#REF!</v>
      </c>
      <c r="K2418" s="95" t="e">
        <f>SUM(K2413:K2417)</f>
        <v>#REF!</v>
      </c>
    </row>
    <row r="2419" spans="8:15" ht="16.5" x14ac:dyDescent="0.25">
      <c r="H2419" s="39" t="s">
        <v>46</v>
      </c>
      <c r="I2419" s="40"/>
    </row>
    <row r="2420" spans="8:15" x14ac:dyDescent="0.25">
      <c r="H2420" s="41" t="s">
        <v>47</v>
      </c>
    </row>
    <row r="2421" spans="8:15" x14ac:dyDescent="0.25">
      <c r="H2421" s="41" t="s">
        <v>48</v>
      </c>
    </row>
    <row r="2422" spans="8:15" x14ac:dyDescent="0.25">
      <c r="H2422" s="41" t="s">
        <v>49</v>
      </c>
    </row>
    <row r="2423" spans="8:15" ht="11.25" customHeight="1" x14ac:dyDescent="0.25">
      <c r="H2423" s="40"/>
      <c r="I2423" s="40"/>
    </row>
    <row r="2424" spans="8:15" ht="15.75" x14ac:dyDescent="0.25">
      <c r="H2424" s="188" t="s">
        <v>840</v>
      </c>
      <c r="N2424" s="45"/>
    </row>
    <row r="2425" spans="8:15" ht="15.75" x14ac:dyDescent="0.25">
      <c r="H2425" s="47" t="s">
        <v>704</v>
      </c>
      <c r="N2425" s="47"/>
    </row>
    <row r="2426" spans="8:15" ht="16.5" x14ac:dyDescent="0.25">
      <c r="H2426" s="326" t="s">
        <v>683</v>
      </c>
      <c r="I2426" s="326"/>
      <c r="J2426" s="326"/>
      <c r="K2426" s="326"/>
      <c r="L2426" s="326"/>
      <c r="M2426" s="326"/>
      <c r="N2426" s="326"/>
      <c r="O2426" s="326"/>
    </row>
    <row r="2427" spans="8:15" ht="15.75" thickBot="1" x14ac:dyDescent="0.3"/>
    <row r="2428" spans="8:15" x14ac:dyDescent="0.25">
      <c r="H2428" s="327" t="s">
        <v>56</v>
      </c>
      <c r="I2428" s="322" t="s">
        <v>57</v>
      </c>
      <c r="J2428" s="322" t="s">
        <v>58</v>
      </c>
      <c r="K2428" s="322" t="s">
        <v>7</v>
      </c>
      <c r="L2428" s="322" t="s">
        <v>59</v>
      </c>
      <c r="M2428" s="322" t="s">
        <v>60</v>
      </c>
      <c r="N2428" s="322" t="s">
        <v>61</v>
      </c>
      <c r="O2428" s="324"/>
    </row>
    <row r="2429" spans="8:15" ht="15.75" thickBot="1" x14ac:dyDescent="0.3">
      <c r="H2429" s="328"/>
      <c r="I2429" s="323"/>
      <c r="J2429" s="323"/>
      <c r="K2429" s="323"/>
      <c r="L2429" s="323"/>
      <c r="M2429" s="323"/>
      <c r="N2429" s="51" t="s">
        <v>62</v>
      </c>
      <c r="O2429" s="52" t="s">
        <v>63</v>
      </c>
    </row>
    <row r="2430" spans="8:15" x14ac:dyDescent="0.25">
      <c r="H2430" s="318">
        <v>259</v>
      </c>
      <c r="I2430" s="312">
        <v>42632</v>
      </c>
      <c r="J2430" s="314" t="s">
        <v>798</v>
      </c>
      <c r="K2430" s="316" t="s">
        <v>841</v>
      </c>
      <c r="L2430" s="318" t="s">
        <v>66</v>
      </c>
      <c r="M2430" s="320">
        <v>150000</v>
      </c>
      <c r="N2430" s="53">
        <v>719</v>
      </c>
      <c r="O2430" s="54">
        <v>150000</v>
      </c>
    </row>
    <row r="2431" spans="8:15" ht="15.75" thickBot="1" x14ac:dyDescent="0.3">
      <c r="H2431" s="319"/>
      <c r="I2431" s="313"/>
      <c r="J2431" s="315"/>
      <c r="K2431" s="317"/>
      <c r="L2431" s="319"/>
      <c r="M2431" s="321"/>
      <c r="N2431" s="55">
        <v>721</v>
      </c>
      <c r="O2431" s="56">
        <f>+M2430-O2430</f>
        <v>0</v>
      </c>
    </row>
    <row r="2432" spans="8:15" x14ac:dyDescent="0.25">
      <c r="H2432" s="318">
        <v>260</v>
      </c>
      <c r="I2432" s="312">
        <v>42632</v>
      </c>
      <c r="J2432" s="314" t="s">
        <v>251</v>
      </c>
      <c r="K2432" s="316" t="s">
        <v>842</v>
      </c>
      <c r="L2432" s="318" t="s">
        <v>66</v>
      </c>
      <c r="M2432" s="320">
        <v>110000</v>
      </c>
      <c r="N2432" s="53">
        <v>719</v>
      </c>
      <c r="O2432" s="54">
        <v>110000</v>
      </c>
    </row>
    <row r="2433" spans="8:15" ht="15.75" thickBot="1" x14ac:dyDescent="0.3">
      <c r="H2433" s="319"/>
      <c r="I2433" s="313"/>
      <c r="J2433" s="315"/>
      <c r="K2433" s="317"/>
      <c r="L2433" s="319"/>
      <c r="M2433" s="321"/>
      <c r="N2433" s="55">
        <v>721</v>
      </c>
      <c r="O2433" s="56">
        <f>+M2432-O2432</f>
        <v>0</v>
      </c>
    </row>
    <row r="2434" spans="8:15" x14ac:dyDescent="0.25">
      <c r="H2434" s="318"/>
      <c r="I2434" s="312"/>
      <c r="J2434" s="314"/>
      <c r="K2434" s="316"/>
      <c r="L2434" s="318"/>
      <c r="M2434" s="320"/>
      <c r="N2434" s="53">
        <v>719</v>
      </c>
      <c r="O2434" s="54"/>
    </row>
    <row r="2435" spans="8:15" ht="14.25" customHeight="1" thickBot="1" x14ac:dyDescent="0.3">
      <c r="H2435" s="319"/>
      <c r="I2435" s="313"/>
      <c r="J2435" s="315"/>
      <c r="K2435" s="317"/>
      <c r="L2435" s="319"/>
      <c r="M2435" s="321"/>
      <c r="N2435" s="55">
        <v>721</v>
      </c>
      <c r="O2435" s="56">
        <f>+M2434-O2434</f>
        <v>0</v>
      </c>
    </row>
    <row r="2436" spans="8:15" x14ac:dyDescent="0.25">
      <c r="H2436" s="318"/>
      <c r="I2436" s="312"/>
      <c r="J2436" s="314"/>
      <c r="K2436" s="316"/>
      <c r="L2436" s="318"/>
      <c r="M2436" s="320"/>
      <c r="N2436" s="53">
        <v>719</v>
      </c>
      <c r="O2436" s="54"/>
    </row>
    <row r="2437" spans="8:15" ht="13.5" customHeight="1" thickBot="1" x14ac:dyDescent="0.3">
      <c r="H2437" s="319"/>
      <c r="I2437" s="313"/>
      <c r="J2437" s="315"/>
      <c r="K2437" s="317"/>
      <c r="L2437" s="319"/>
      <c r="M2437" s="321"/>
      <c r="N2437" s="55">
        <v>721</v>
      </c>
      <c r="O2437" s="56">
        <f>+M2436-O2436</f>
        <v>0</v>
      </c>
    </row>
    <row r="2438" spans="8:15" x14ac:dyDescent="0.25">
      <c r="H2438" s="318"/>
      <c r="I2438" s="312"/>
      <c r="J2438" s="314"/>
      <c r="K2438" s="316"/>
      <c r="L2438" s="318"/>
      <c r="M2438" s="320"/>
      <c r="N2438" s="53">
        <v>719</v>
      </c>
      <c r="O2438" s="54"/>
    </row>
    <row r="2439" spans="8:15" ht="14.25" customHeight="1" thickBot="1" x14ac:dyDescent="0.3">
      <c r="H2439" s="319"/>
      <c r="I2439" s="313"/>
      <c r="J2439" s="315"/>
      <c r="K2439" s="317"/>
      <c r="L2439" s="319"/>
      <c r="M2439" s="321"/>
      <c r="N2439" s="55">
        <v>723</v>
      </c>
      <c r="O2439" s="56">
        <f>+M2438-O2438</f>
        <v>0</v>
      </c>
    </row>
    <row r="2440" spans="8:15" ht="16.5" thickBot="1" x14ac:dyDescent="0.3">
      <c r="H2440" s="297" t="s">
        <v>80</v>
      </c>
      <c r="I2440" s="298"/>
      <c r="J2440" s="298"/>
      <c r="K2440" s="298"/>
      <c r="L2440" s="299"/>
      <c r="M2440" s="62">
        <f>SUM(M2430:M2439)</f>
        <v>260000</v>
      </c>
    </row>
    <row r="2441" spans="8:15" ht="16.5" thickBot="1" x14ac:dyDescent="0.3">
      <c r="H2441" s="300" t="s">
        <v>81</v>
      </c>
      <c r="I2441" s="301"/>
      <c r="J2441" s="301"/>
      <c r="K2441" s="301"/>
      <c r="L2441" s="302"/>
      <c r="M2441" s="63">
        <f>+M2405</f>
        <v>96329522</v>
      </c>
      <c r="N2441" s="64" t="s">
        <v>82</v>
      </c>
      <c r="O2441" s="65">
        <f>528+24</f>
        <v>552</v>
      </c>
    </row>
    <row r="2442" spans="8:15" ht="16.5" thickBot="1" x14ac:dyDescent="0.3">
      <c r="H2442" s="303" t="s">
        <v>83</v>
      </c>
      <c r="I2442" s="304"/>
      <c r="J2442" s="304"/>
      <c r="K2442" s="304"/>
      <c r="L2442" s="305"/>
      <c r="M2442" s="66">
        <f>SUM(M2440:M2441)</f>
        <v>96589522</v>
      </c>
    </row>
    <row r="2443" spans="8:15" x14ac:dyDescent="0.25">
      <c r="H2443" s="67"/>
      <c r="I2443" s="67"/>
      <c r="J2443" s="67"/>
      <c r="K2443" s="67"/>
      <c r="L2443" s="67"/>
    </row>
    <row r="2444" spans="8:15" x14ac:dyDescent="0.25">
      <c r="H2444" s="41" t="s">
        <v>843</v>
      </c>
    </row>
    <row r="2445" spans="8:15" x14ac:dyDescent="0.25">
      <c r="M2445" s="68"/>
    </row>
    <row r="2446" spans="8:15" x14ac:dyDescent="0.25">
      <c r="H2446" s="40" t="s">
        <v>86</v>
      </c>
      <c r="K2446" s="69"/>
      <c r="M2446" s="68"/>
    </row>
    <row r="2447" spans="8:15" ht="15.75" thickBot="1" x14ac:dyDescent="0.3"/>
    <row r="2448" spans="8:15" ht="15.75" thickBot="1" x14ac:dyDescent="0.3">
      <c r="H2448" s="306" t="s">
        <v>87</v>
      </c>
      <c r="I2448" s="307"/>
      <c r="J2448" s="307"/>
      <c r="K2448" s="308"/>
      <c r="M2448" s="40" t="s">
        <v>89</v>
      </c>
    </row>
    <row r="2449" spans="8:15" ht="30.75" thickBot="1" x14ac:dyDescent="0.3">
      <c r="H2449" s="70" t="s">
        <v>62</v>
      </c>
      <c r="I2449" s="71" t="s">
        <v>90</v>
      </c>
      <c r="J2449" s="204" t="s">
        <v>91</v>
      </c>
      <c r="K2449" s="73" t="s">
        <v>92</v>
      </c>
    </row>
    <row r="2450" spans="8:15" x14ac:dyDescent="0.25">
      <c r="H2450" s="75">
        <v>719</v>
      </c>
      <c r="I2450" s="76">
        <f>+O2430+O2432</f>
        <v>260000</v>
      </c>
      <c r="J2450" s="77">
        <f>+K2413</f>
        <v>24830000</v>
      </c>
      <c r="K2450" s="79">
        <f>+I2450+J2450</f>
        <v>25090000</v>
      </c>
    </row>
    <row r="2451" spans="8:15" x14ac:dyDescent="0.25">
      <c r="H2451" s="80">
        <v>721</v>
      </c>
      <c r="I2451" s="81">
        <f>+O2431+O2433+O2435+O2437+O2439</f>
        <v>0</v>
      </c>
      <c r="J2451" s="77">
        <f>+K2414</f>
        <v>86022059</v>
      </c>
      <c r="K2451" s="79">
        <f>+I2451+J2451</f>
        <v>86022059</v>
      </c>
    </row>
    <row r="2452" spans="8:15" x14ac:dyDescent="0.25">
      <c r="H2452" s="80">
        <v>722</v>
      </c>
      <c r="I2452" s="81"/>
      <c r="J2452" s="77">
        <f>+K2415</f>
        <v>2000000</v>
      </c>
      <c r="K2452" s="79">
        <f>+I2452+J2452</f>
        <v>2000000</v>
      </c>
    </row>
    <row r="2453" spans="8:15" ht="15.75" x14ac:dyDescent="0.25">
      <c r="H2453" s="80">
        <v>723</v>
      </c>
      <c r="I2453" s="81"/>
      <c r="J2453" s="77">
        <f>+K2416</f>
        <v>0</v>
      </c>
      <c r="K2453" s="79">
        <f>+I2453+J2453</f>
        <v>0</v>
      </c>
      <c r="M2453" s="109" t="s">
        <v>304</v>
      </c>
      <c r="N2453" s="84"/>
    </row>
    <row r="2454" spans="8:15" ht="16.5" thickBot="1" x14ac:dyDescent="0.3">
      <c r="H2454" s="85" t="s">
        <v>94</v>
      </c>
      <c r="I2454" s="86"/>
      <c r="J2454" s="77" t="e">
        <f>+K2417</f>
        <v>#REF!</v>
      </c>
      <c r="K2454" s="89" t="e">
        <f>+I2454+J2454</f>
        <v>#REF!</v>
      </c>
      <c r="M2454" s="45"/>
    </row>
    <row r="2455" spans="8:15" ht="16.5" thickBot="1" x14ac:dyDescent="0.3">
      <c r="H2455" s="90"/>
      <c r="I2455" s="94">
        <f>SUM(I2450:I2454)</f>
        <v>260000</v>
      </c>
      <c r="J2455" s="94" t="e">
        <f>SUM(J2450:J2454)</f>
        <v>#REF!</v>
      </c>
      <c r="K2455" s="95" t="e">
        <f>SUM(K2450:K2454)</f>
        <v>#REF!</v>
      </c>
    </row>
    <row r="2456" spans="8:15" ht="16.5" x14ac:dyDescent="0.25">
      <c r="H2456" s="39" t="s">
        <v>46</v>
      </c>
      <c r="I2456" s="40"/>
    </row>
    <row r="2457" spans="8:15" x14ac:dyDescent="0.25">
      <c r="H2457" s="41" t="s">
        <v>47</v>
      </c>
    </row>
    <row r="2458" spans="8:15" x14ac:dyDescent="0.25">
      <c r="H2458" s="41" t="s">
        <v>48</v>
      </c>
    </row>
    <row r="2459" spans="8:15" x14ac:dyDescent="0.25">
      <c r="H2459" s="41" t="s">
        <v>49</v>
      </c>
    </row>
    <row r="2460" spans="8:15" ht="6.75" customHeight="1" x14ac:dyDescent="0.25">
      <c r="H2460" s="40"/>
      <c r="I2460" s="40"/>
    </row>
    <row r="2461" spans="8:15" ht="15.75" x14ac:dyDescent="0.25">
      <c r="H2461" s="188" t="s">
        <v>844</v>
      </c>
      <c r="N2461" s="45"/>
    </row>
    <row r="2462" spans="8:15" ht="15.75" x14ac:dyDescent="0.25">
      <c r="H2462" s="47" t="s">
        <v>704</v>
      </c>
      <c r="N2462" s="47"/>
    </row>
    <row r="2463" spans="8:15" ht="15.75" customHeight="1" x14ac:dyDescent="0.25">
      <c r="H2463" s="326" t="s">
        <v>845</v>
      </c>
      <c r="I2463" s="326"/>
      <c r="J2463" s="326"/>
      <c r="K2463" s="326"/>
      <c r="L2463" s="326"/>
      <c r="M2463" s="326"/>
      <c r="N2463" s="326"/>
      <c r="O2463" s="326"/>
    </row>
    <row r="2464" spans="8:15" ht="15.75" thickBot="1" x14ac:dyDescent="0.3"/>
    <row r="2465" spans="8:15" x14ac:dyDescent="0.25">
      <c r="H2465" s="327" t="s">
        <v>56</v>
      </c>
      <c r="I2465" s="322" t="s">
        <v>57</v>
      </c>
      <c r="J2465" s="322" t="s">
        <v>58</v>
      </c>
      <c r="K2465" s="322" t="s">
        <v>7</v>
      </c>
      <c r="L2465" s="322" t="s">
        <v>59</v>
      </c>
      <c r="M2465" s="322" t="s">
        <v>60</v>
      </c>
      <c r="N2465" s="322" t="s">
        <v>61</v>
      </c>
      <c r="O2465" s="324"/>
    </row>
    <row r="2466" spans="8:15" ht="15.75" thickBot="1" x14ac:dyDescent="0.3">
      <c r="H2466" s="328"/>
      <c r="I2466" s="323"/>
      <c r="J2466" s="323"/>
      <c r="K2466" s="323"/>
      <c r="L2466" s="323"/>
      <c r="M2466" s="323"/>
      <c r="N2466" s="51" t="s">
        <v>62</v>
      </c>
      <c r="O2466" s="52" t="s">
        <v>63</v>
      </c>
    </row>
    <row r="2467" spans="8:15" ht="15" customHeight="1" x14ac:dyDescent="0.25">
      <c r="H2467" s="318">
        <v>261</v>
      </c>
      <c r="I2467" s="312">
        <v>42641</v>
      </c>
      <c r="J2467" s="314" t="s">
        <v>68</v>
      </c>
      <c r="K2467" s="316" t="s">
        <v>846</v>
      </c>
      <c r="L2467" s="318" t="s">
        <v>847</v>
      </c>
      <c r="M2467" s="320">
        <v>145000</v>
      </c>
      <c r="N2467" s="53">
        <v>719</v>
      </c>
      <c r="O2467" s="54">
        <v>145000</v>
      </c>
    </row>
    <row r="2468" spans="8:15" ht="12.75" customHeight="1" thickBot="1" x14ac:dyDescent="0.3">
      <c r="H2468" s="319"/>
      <c r="I2468" s="313"/>
      <c r="J2468" s="315"/>
      <c r="K2468" s="317"/>
      <c r="L2468" s="319"/>
      <c r="M2468" s="321"/>
      <c r="N2468" s="55">
        <v>721</v>
      </c>
      <c r="O2468" s="56">
        <f>+M2467-O2467</f>
        <v>0</v>
      </c>
    </row>
    <row r="2469" spans="8:15" ht="15" customHeight="1" x14ac:dyDescent="0.25">
      <c r="H2469" s="318">
        <v>262</v>
      </c>
      <c r="I2469" s="312">
        <v>42641</v>
      </c>
      <c r="J2469" s="314" t="s">
        <v>68</v>
      </c>
      <c r="K2469" s="316" t="s">
        <v>848</v>
      </c>
      <c r="L2469" s="318" t="s">
        <v>847</v>
      </c>
      <c r="M2469" s="320">
        <v>72500</v>
      </c>
      <c r="N2469" s="53">
        <v>719</v>
      </c>
      <c r="O2469" s="54">
        <v>72500</v>
      </c>
    </row>
    <row r="2470" spans="8:15" ht="13.5" customHeight="1" thickBot="1" x14ac:dyDescent="0.3">
      <c r="H2470" s="319"/>
      <c r="I2470" s="313"/>
      <c r="J2470" s="315"/>
      <c r="K2470" s="317"/>
      <c r="L2470" s="319"/>
      <c r="M2470" s="321"/>
      <c r="N2470" s="55">
        <v>721</v>
      </c>
      <c r="O2470" s="56">
        <f>+M2469-O2469</f>
        <v>0</v>
      </c>
    </row>
    <row r="2471" spans="8:15" ht="15" customHeight="1" x14ac:dyDescent="0.25">
      <c r="H2471" s="318">
        <v>263</v>
      </c>
      <c r="I2471" s="312">
        <v>42641</v>
      </c>
      <c r="J2471" s="314" t="s">
        <v>68</v>
      </c>
      <c r="K2471" s="316" t="s">
        <v>849</v>
      </c>
      <c r="L2471" s="318" t="s">
        <v>847</v>
      </c>
      <c r="M2471" s="320">
        <v>72500</v>
      </c>
      <c r="N2471" s="53">
        <v>719</v>
      </c>
      <c r="O2471" s="54">
        <v>72500</v>
      </c>
    </row>
    <row r="2472" spans="8:15" ht="14.25" customHeight="1" thickBot="1" x14ac:dyDescent="0.3">
      <c r="H2472" s="319"/>
      <c r="I2472" s="313"/>
      <c r="J2472" s="315"/>
      <c r="K2472" s="317"/>
      <c r="L2472" s="319"/>
      <c r="M2472" s="321"/>
      <c r="N2472" s="55">
        <v>721</v>
      </c>
      <c r="O2472" s="56">
        <f>+M2471-O2471</f>
        <v>0</v>
      </c>
    </row>
    <row r="2473" spans="8:15" ht="15" customHeight="1" x14ac:dyDescent="0.25">
      <c r="H2473" s="318">
        <v>264</v>
      </c>
      <c r="I2473" s="312">
        <v>42641</v>
      </c>
      <c r="J2473" s="314" t="s">
        <v>68</v>
      </c>
      <c r="K2473" s="316" t="s">
        <v>850</v>
      </c>
      <c r="L2473" s="318" t="s">
        <v>847</v>
      </c>
      <c r="M2473" s="320">
        <v>217500</v>
      </c>
      <c r="N2473" s="53">
        <v>719</v>
      </c>
      <c r="O2473" s="54">
        <v>217500</v>
      </c>
    </row>
    <row r="2474" spans="8:15" ht="13.5" customHeight="1" thickBot="1" x14ac:dyDescent="0.3">
      <c r="H2474" s="319"/>
      <c r="I2474" s="313"/>
      <c r="J2474" s="315"/>
      <c r="K2474" s="317"/>
      <c r="L2474" s="319"/>
      <c r="M2474" s="321"/>
      <c r="N2474" s="55">
        <v>721</v>
      </c>
      <c r="O2474" s="56">
        <f>+M2473-O2473</f>
        <v>0</v>
      </c>
    </row>
    <row r="2475" spans="8:15" ht="15.75" customHeight="1" x14ac:dyDescent="0.25">
      <c r="H2475" s="318">
        <v>265</v>
      </c>
      <c r="I2475" s="312">
        <v>42641</v>
      </c>
      <c r="J2475" s="314" t="s">
        <v>68</v>
      </c>
      <c r="K2475" s="316" t="s">
        <v>851</v>
      </c>
      <c r="L2475" s="318" t="s">
        <v>847</v>
      </c>
      <c r="M2475" s="320">
        <f>72500*2</f>
        <v>145000</v>
      </c>
      <c r="N2475" s="53">
        <v>719</v>
      </c>
      <c r="O2475" s="54">
        <v>145000</v>
      </c>
    </row>
    <row r="2476" spans="8:15" ht="13.5" customHeight="1" thickBot="1" x14ac:dyDescent="0.3">
      <c r="H2476" s="319"/>
      <c r="I2476" s="313"/>
      <c r="J2476" s="315"/>
      <c r="K2476" s="317"/>
      <c r="L2476" s="319"/>
      <c r="M2476" s="321"/>
      <c r="N2476" s="55">
        <v>721</v>
      </c>
      <c r="O2476" s="56">
        <f>+M2475-O2475</f>
        <v>0</v>
      </c>
    </row>
    <row r="2477" spans="8:15" ht="15" customHeight="1" x14ac:dyDescent="0.25">
      <c r="H2477" s="318">
        <v>266</v>
      </c>
      <c r="I2477" s="312">
        <v>42641</v>
      </c>
      <c r="J2477" s="314" t="s">
        <v>68</v>
      </c>
      <c r="K2477" s="316" t="s">
        <v>852</v>
      </c>
      <c r="L2477" s="318" t="s">
        <v>847</v>
      </c>
      <c r="M2477" s="320">
        <v>145000</v>
      </c>
      <c r="N2477" s="53">
        <v>719</v>
      </c>
      <c r="O2477" s="54">
        <v>145000</v>
      </c>
    </row>
    <row r="2478" spans="8:15" ht="13.5" customHeight="1" thickBot="1" x14ac:dyDescent="0.3">
      <c r="H2478" s="319"/>
      <c r="I2478" s="313"/>
      <c r="J2478" s="315"/>
      <c r="K2478" s="317"/>
      <c r="L2478" s="319"/>
      <c r="M2478" s="321"/>
      <c r="N2478" s="55">
        <v>721</v>
      </c>
      <c r="O2478" s="56">
        <f>+M2477-O2477</f>
        <v>0</v>
      </c>
    </row>
    <row r="2479" spans="8:15" ht="16.5" thickBot="1" x14ac:dyDescent="0.3">
      <c r="H2479" s="297" t="s">
        <v>80</v>
      </c>
      <c r="I2479" s="298"/>
      <c r="J2479" s="298"/>
      <c r="K2479" s="298"/>
      <c r="L2479" s="299"/>
      <c r="M2479" s="62">
        <f>SUM(M2467:M2478)</f>
        <v>797500</v>
      </c>
    </row>
    <row r="2480" spans="8:15" ht="16.5" thickBot="1" x14ac:dyDescent="0.3">
      <c r="H2480" s="300" t="s">
        <v>81</v>
      </c>
      <c r="I2480" s="301"/>
      <c r="J2480" s="301"/>
      <c r="K2480" s="301"/>
      <c r="L2480" s="302"/>
      <c r="M2480" s="63">
        <f>+M2442</f>
        <v>96589522</v>
      </c>
      <c r="N2480" s="64" t="s">
        <v>82</v>
      </c>
      <c r="O2480" s="65"/>
    </row>
    <row r="2481" spans="8:14" ht="16.5" thickBot="1" x14ac:dyDescent="0.3">
      <c r="H2481" s="303" t="s">
        <v>83</v>
      </c>
      <c r="I2481" s="304"/>
      <c r="J2481" s="304"/>
      <c r="K2481" s="304"/>
      <c r="L2481" s="305"/>
      <c r="M2481" s="66">
        <f>SUM(M2479:M2480)</f>
        <v>97387022</v>
      </c>
    </row>
    <row r="2482" spans="8:14" ht="9.75" customHeight="1" x14ac:dyDescent="0.25">
      <c r="H2482" s="67"/>
      <c r="I2482" s="67"/>
      <c r="J2482" s="67"/>
      <c r="K2482" s="67"/>
      <c r="L2482" s="67"/>
    </row>
    <row r="2483" spans="8:14" x14ac:dyDescent="0.25">
      <c r="H2483" s="41" t="s">
        <v>853</v>
      </c>
    </row>
    <row r="2484" spans="8:14" ht="9.75" customHeight="1" x14ac:dyDescent="0.25">
      <c r="M2484" s="68"/>
    </row>
    <row r="2485" spans="8:14" x14ac:dyDescent="0.25">
      <c r="H2485" s="40" t="s">
        <v>86</v>
      </c>
      <c r="K2485" s="69"/>
      <c r="M2485" s="68"/>
    </row>
    <row r="2486" spans="8:14" ht="12" customHeight="1" thickBot="1" x14ac:dyDescent="0.3"/>
    <row r="2487" spans="8:14" ht="15.75" thickBot="1" x14ac:dyDescent="0.3">
      <c r="H2487" s="306" t="s">
        <v>87</v>
      </c>
      <c r="I2487" s="307"/>
      <c r="J2487" s="307"/>
      <c r="K2487" s="308"/>
      <c r="M2487" s="40" t="s">
        <v>89</v>
      </c>
    </row>
    <row r="2488" spans="8:14" ht="28.5" customHeight="1" thickBot="1" x14ac:dyDescent="0.3">
      <c r="H2488" s="70" t="s">
        <v>62</v>
      </c>
      <c r="I2488" s="71" t="s">
        <v>90</v>
      </c>
      <c r="J2488" s="204" t="s">
        <v>91</v>
      </c>
      <c r="K2488" s="73" t="s">
        <v>92</v>
      </c>
    </row>
    <row r="2489" spans="8:14" x14ac:dyDescent="0.25">
      <c r="H2489" s="75">
        <v>719</v>
      </c>
      <c r="I2489" s="76"/>
      <c r="J2489" s="77">
        <f>+K2450</f>
        <v>25090000</v>
      </c>
      <c r="K2489" s="79">
        <f>+I2489+J2489</f>
        <v>25090000</v>
      </c>
    </row>
    <row r="2490" spans="8:14" x14ac:dyDescent="0.25">
      <c r="H2490" s="80">
        <v>721</v>
      </c>
      <c r="I2490" s="81"/>
      <c r="J2490" s="77">
        <f>+K2451</f>
        <v>86022059</v>
      </c>
      <c r="K2490" s="79">
        <f>+I2490+J2490</f>
        <v>86022059</v>
      </c>
    </row>
    <row r="2491" spans="8:14" x14ac:dyDescent="0.25">
      <c r="H2491" s="80">
        <v>722</v>
      </c>
      <c r="I2491" s="81"/>
      <c r="J2491" s="77">
        <f>+K2452</f>
        <v>2000000</v>
      </c>
      <c r="K2491" s="79">
        <f>+I2491+J2491</f>
        <v>2000000</v>
      </c>
    </row>
    <row r="2492" spans="8:14" ht="15" customHeight="1" x14ac:dyDescent="0.25">
      <c r="H2492" s="80">
        <v>723</v>
      </c>
      <c r="I2492" s="81"/>
      <c r="J2492" s="77">
        <f>+K2453</f>
        <v>0</v>
      </c>
      <c r="K2492" s="79">
        <f>+I2492+J2492</f>
        <v>0</v>
      </c>
      <c r="M2492" s="109" t="s">
        <v>304</v>
      </c>
      <c r="N2492" s="84"/>
    </row>
    <row r="2493" spans="8:14" ht="16.5" thickBot="1" x14ac:dyDescent="0.3">
      <c r="H2493" s="85" t="s">
        <v>854</v>
      </c>
      <c r="I2493" s="86">
        <f>+O2467+O2469+O2471+O2473+O2477+O2475</f>
        <v>797500</v>
      </c>
      <c r="J2493" s="77" t="e">
        <f>+K2454</f>
        <v>#REF!</v>
      </c>
      <c r="K2493" s="89" t="e">
        <f>+I2493+J2493</f>
        <v>#REF!</v>
      </c>
      <c r="M2493" s="45"/>
    </row>
    <row r="2494" spans="8:14" ht="16.5" thickBot="1" x14ac:dyDescent="0.3">
      <c r="H2494" s="205" t="s">
        <v>855</v>
      </c>
      <c r="I2494" s="94">
        <f>SUM(I2489:I2493)</f>
        <v>797500</v>
      </c>
      <c r="J2494" s="94" t="e">
        <f>SUM(J2489:J2493)</f>
        <v>#REF!</v>
      </c>
      <c r="K2494" s="95" t="e">
        <f>SUM(K2489:K2493)</f>
        <v>#REF!</v>
      </c>
    </row>
    <row r="2495" spans="8:14" ht="16.5" x14ac:dyDescent="0.25">
      <c r="H2495" s="39" t="s">
        <v>46</v>
      </c>
      <c r="I2495" s="40"/>
    </row>
    <row r="2496" spans="8:14" x14ac:dyDescent="0.25">
      <c r="H2496" s="41" t="s">
        <v>47</v>
      </c>
    </row>
    <row r="2497" spans="8:15" x14ac:dyDescent="0.25">
      <c r="H2497" s="41" t="s">
        <v>48</v>
      </c>
    </row>
    <row r="2498" spans="8:15" x14ac:dyDescent="0.25">
      <c r="H2498" s="41" t="s">
        <v>49</v>
      </c>
    </row>
    <row r="2499" spans="8:15" ht="12.75" customHeight="1" x14ac:dyDescent="0.25">
      <c r="H2499" s="40"/>
      <c r="I2499" s="40"/>
    </row>
    <row r="2500" spans="8:15" ht="15.75" x14ac:dyDescent="0.25">
      <c r="H2500" s="188" t="s">
        <v>856</v>
      </c>
      <c r="N2500" s="45"/>
    </row>
    <row r="2501" spans="8:15" ht="15.75" x14ac:dyDescent="0.25">
      <c r="H2501" s="47" t="s">
        <v>704</v>
      </c>
      <c r="N2501" s="47"/>
    </row>
    <row r="2502" spans="8:15" ht="16.5" x14ac:dyDescent="0.25">
      <c r="H2502" s="326" t="s">
        <v>857</v>
      </c>
      <c r="I2502" s="326"/>
      <c r="J2502" s="326"/>
      <c r="K2502" s="326"/>
      <c r="L2502" s="326"/>
      <c r="M2502" s="326"/>
      <c r="N2502" s="326"/>
      <c r="O2502" s="326"/>
    </row>
    <row r="2503" spans="8:15" ht="15.75" thickBot="1" x14ac:dyDescent="0.3"/>
    <row r="2504" spans="8:15" x14ac:dyDescent="0.25">
      <c r="H2504" s="327" t="s">
        <v>56</v>
      </c>
      <c r="I2504" s="322" t="s">
        <v>57</v>
      </c>
      <c r="J2504" s="322" t="s">
        <v>58</v>
      </c>
      <c r="K2504" s="322" t="s">
        <v>7</v>
      </c>
      <c r="L2504" s="322" t="s">
        <v>59</v>
      </c>
      <c r="M2504" s="322" t="s">
        <v>60</v>
      </c>
      <c r="N2504" s="322" t="s">
        <v>61</v>
      </c>
      <c r="O2504" s="324"/>
    </row>
    <row r="2505" spans="8:15" ht="15.75" thickBot="1" x14ac:dyDescent="0.3">
      <c r="H2505" s="328"/>
      <c r="I2505" s="323"/>
      <c r="J2505" s="323"/>
      <c r="K2505" s="323"/>
      <c r="L2505" s="323"/>
      <c r="M2505" s="323"/>
      <c r="N2505" s="51" t="s">
        <v>62</v>
      </c>
      <c r="O2505" s="52" t="s">
        <v>63</v>
      </c>
    </row>
    <row r="2506" spans="8:15" ht="15" customHeight="1" x14ac:dyDescent="0.25">
      <c r="H2506" s="318">
        <v>267</v>
      </c>
      <c r="I2506" s="312">
        <v>42641</v>
      </c>
      <c r="J2506" s="314" t="s">
        <v>858</v>
      </c>
      <c r="K2506" s="316" t="s">
        <v>859</v>
      </c>
      <c r="L2506" s="318" t="s">
        <v>5</v>
      </c>
      <c r="M2506" s="320">
        <v>2672700</v>
      </c>
      <c r="N2506" s="53">
        <v>719</v>
      </c>
      <c r="O2506" s="54"/>
    </row>
    <row r="2507" spans="8:15" ht="15.75" customHeight="1" thickBot="1" x14ac:dyDescent="0.3">
      <c r="H2507" s="319"/>
      <c r="I2507" s="313"/>
      <c r="J2507" s="315"/>
      <c r="K2507" s="317"/>
      <c r="L2507" s="319"/>
      <c r="M2507" s="321"/>
      <c r="N2507" s="55">
        <v>721</v>
      </c>
      <c r="O2507" s="56">
        <f>+M2506</f>
        <v>2672700</v>
      </c>
    </row>
    <row r="2508" spans="8:15" ht="15" customHeight="1" x14ac:dyDescent="0.25">
      <c r="H2508" s="318">
        <v>268</v>
      </c>
      <c r="I2508" s="312">
        <v>42641</v>
      </c>
      <c r="J2508" s="314" t="s">
        <v>858</v>
      </c>
      <c r="K2508" s="316" t="s">
        <v>860</v>
      </c>
      <c r="L2508" s="318" t="s">
        <v>5</v>
      </c>
      <c r="M2508" s="320">
        <v>773675</v>
      </c>
      <c r="N2508" s="53">
        <v>719</v>
      </c>
      <c r="O2508" s="54"/>
    </row>
    <row r="2509" spans="8:15" ht="15.75" customHeight="1" thickBot="1" x14ac:dyDescent="0.3">
      <c r="H2509" s="319"/>
      <c r="I2509" s="313"/>
      <c r="J2509" s="315"/>
      <c r="K2509" s="317"/>
      <c r="L2509" s="319"/>
      <c r="M2509" s="321"/>
      <c r="N2509" s="55">
        <v>721</v>
      </c>
      <c r="O2509" s="56">
        <f>+M2508-O2508</f>
        <v>773675</v>
      </c>
    </row>
    <row r="2510" spans="8:15" ht="15" customHeight="1" x14ac:dyDescent="0.25">
      <c r="H2510" s="318">
        <v>269</v>
      </c>
      <c r="I2510" s="312">
        <v>42641</v>
      </c>
      <c r="J2510" s="314" t="s">
        <v>858</v>
      </c>
      <c r="K2510" s="316" t="s">
        <v>861</v>
      </c>
      <c r="L2510" s="318" t="s">
        <v>5</v>
      </c>
      <c r="M2510" s="320">
        <v>2672700</v>
      </c>
      <c r="N2510" s="53">
        <v>719</v>
      </c>
      <c r="O2510" s="54"/>
    </row>
    <row r="2511" spans="8:15" ht="14.25" customHeight="1" thickBot="1" x14ac:dyDescent="0.3">
      <c r="H2511" s="319"/>
      <c r="I2511" s="313"/>
      <c r="J2511" s="315"/>
      <c r="K2511" s="317"/>
      <c r="L2511" s="319"/>
      <c r="M2511" s="321"/>
      <c r="N2511" s="55">
        <v>721</v>
      </c>
      <c r="O2511" s="56">
        <f>+M2510-O2510</f>
        <v>2672700</v>
      </c>
    </row>
    <row r="2512" spans="8:15" ht="14.25" customHeight="1" x14ac:dyDescent="0.25">
      <c r="H2512" s="318"/>
      <c r="I2512" s="312"/>
      <c r="J2512" s="314"/>
      <c r="K2512" s="316"/>
      <c r="L2512" s="318"/>
      <c r="M2512" s="320"/>
      <c r="N2512" s="53">
        <v>719</v>
      </c>
      <c r="O2512" s="54"/>
    </row>
    <row r="2513" spans="8:15" ht="14.25" customHeight="1" thickBot="1" x14ac:dyDescent="0.3">
      <c r="H2513" s="319"/>
      <c r="I2513" s="313"/>
      <c r="J2513" s="315"/>
      <c r="K2513" s="317"/>
      <c r="L2513" s="319"/>
      <c r="M2513" s="321"/>
      <c r="N2513" s="55">
        <v>721</v>
      </c>
      <c r="O2513" s="56">
        <f>+M2512-O2512</f>
        <v>0</v>
      </c>
    </row>
    <row r="2514" spans="8:15" ht="15" customHeight="1" x14ac:dyDescent="0.25">
      <c r="H2514" s="318"/>
      <c r="I2514" s="312"/>
      <c r="J2514" s="314"/>
      <c r="K2514" s="316"/>
      <c r="L2514" s="318"/>
      <c r="M2514" s="320"/>
      <c r="N2514" s="53">
        <v>719</v>
      </c>
      <c r="O2514" s="54"/>
    </row>
    <row r="2515" spans="8:15" ht="11.25" customHeight="1" thickBot="1" x14ac:dyDescent="0.3">
      <c r="H2515" s="319"/>
      <c r="I2515" s="313"/>
      <c r="J2515" s="315"/>
      <c r="K2515" s="317"/>
      <c r="L2515" s="319"/>
      <c r="M2515" s="321"/>
      <c r="N2515" s="55">
        <v>723</v>
      </c>
      <c r="O2515" s="56">
        <f>+M2514-O2514</f>
        <v>0</v>
      </c>
    </row>
    <row r="2516" spans="8:15" ht="16.5" thickBot="1" x14ac:dyDescent="0.3">
      <c r="H2516" s="297" t="s">
        <v>80</v>
      </c>
      <c r="I2516" s="298"/>
      <c r="J2516" s="298"/>
      <c r="K2516" s="298"/>
      <c r="L2516" s="299"/>
      <c r="M2516" s="62">
        <f>SUM(M2506:M2515)</f>
        <v>6119075</v>
      </c>
    </row>
    <row r="2517" spans="8:15" ht="16.5" thickBot="1" x14ac:dyDescent="0.3">
      <c r="H2517" s="300" t="s">
        <v>81</v>
      </c>
      <c r="I2517" s="301"/>
      <c r="J2517" s="301"/>
      <c r="K2517" s="301"/>
      <c r="L2517" s="302"/>
      <c r="M2517" s="63">
        <f>+M2481</f>
        <v>97387022</v>
      </c>
      <c r="N2517" s="64" t="s">
        <v>82</v>
      </c>
      <c r="O2517" s="65"/>
    </row>
    <row r="2518" spans="8:15" ht="16.5" thickBot="1" x14ac:dyDescent="0.3">
      <c r="H2518" s="303" t="s">
        <v>83</v>
      </c>
      <c r="I2518" s="304"/>
      <c r="J2518" s="304"/>
      <c r="K2518" s="304"/>
      <c r="L2518" s="305"/>
      <c r="M2518" s="66">
        <f>SUM(M2516:M2517)</f>
        <v>103506097</v>
      </c>
    </row>
    <row r="2519" spans="8:15" x14ac:dyDescent="0.25">
      <c r="H2519" s="67"/>
      <c r="I2519" s="67"/>
      <c r="J2519" s="67"/>
      <c r="K2519" s="67"/>
      <c r="L2519" s="67"/>
    </row>
    <row r="2520" spans="8:15" x14ac:dyDescent="0.25">
      <c r="H2520" s="41" t="s">
        <v>862</v>
      </c>
    </row>
    <row r="2521" spans="8:15" ht="12.75" customHeight="1" x14ac:dyDescent="0.25">
      <c r="M2521" s="68"/>
    </row>
    <row r="2522" spans="8:15" x14ac:dyDescent="0.25">
      <c r="H2522" s="40" t="s">
        <v>86</v>
      </c>
      <c r="K2522" s="69"/>
      <c r="M2522" s="68"/>
    </row>
    <row r="2523" spans="8:15" ht="14.25" customHeight="1" thickBot="1" x14ac:dyDescent="0.3"/>
    <row r="2524" spans="8:15" ht="15.75" thickBot="1" x14ac:dyDescent="0.3">
      <c r="H2524" s="306" t="s">
        <v>87</v>
      </c>
      <c r="I2524" s="307"/>
      <c r="J2524" s="307"/>
      <c r="K2524" s="308"/>
      <c r="M2524" s="40" t="s">
        <v>89</v>
      </c>
    </row>
    <row r="2525" spans="8:15" ht="30.75" thickBot="1" x14ac:dyDescent="0.3">
      <c r="H2525" s="70" t="s">
        <v>62</v>
      </c>
      <c r="I2525" s="71" t="s">
        <v>90</v>
      </c>
      <c r="J2525" s="204" t="s">
        <v>91</v>
      </c>
      <c r="K2525" s="73" t="s">
        <v>92</v>
      </c>
    </row>
    <row r="2526" spans="8:15" x14ac:dyDescent="0.25">
      <c r="H2526" s="75">
        <v>719</v>
      </c>
      <c r="I2526" s="76">
        <v>0</v>
      </c>
      <c r="J2526" s="77">
        <f>+K2489</f>
        <v>25090000</v>
      </c>
      <c r="K2526" s="79">
        <f>+I2526+J2526</f>
        <v>25090000</v>
      </c>
    </row>
    <row r="2527" spans="8:15" x14ac:dyDescent="0.25">
      <c r="H2527" s="80">
        <v>721</v>
      </c>
      <c r="I2527" s="81">
        <f>+O2507+O2509+O2511+O2513+O2515</f>
        <v>6119075</v>
      </c>
      <c r="J2527" s="77">
        <f>+K2490</f>
        <v>86022059</v>
      </c>
      <c r="K2527" s="79">
        <f>+I2527+J2527</f>
        <v>92141134</v>
      </c>
    </row>
    <row r="2528" spans="8:15" x14ac:dyDescent="0.25">
      <c r="H2528" s="80">
        <v>722</v>
      </c>
      <c r="I2528" s="81"/>
      <c r="J2528" s="77">
        <f>+K2491</f>
        <v>2000000</v>
      </c>
      <c r="K2528" s="79">
        <f>+I2528+J2528</f>
        <v>2000000</v>
      </c>
    </row>
    <row r="2529" spans="8:15" ht="15.75" x14ac:dyDescent="0.25">
      <c r="H2529" s="80">
        <v>723</v>
      </c>
      <c r="I2529" s="81"/>
      <c r="J2529" s="77">
        <f>+K2492</f>
        <v>0</v>
      </c>
      <c r="K2529" s="79">
        <f>+I2529+J2529</f>
        <v>0</v>
      </c>
      <c r="M2529" s="109" t="s">
        <v>304</v>
      </c>
      <c r="N2529" s="84"/>
    </row>
    <row r="2530" spans="8:15" ht="16.5" thickBot="1" x14ac:dyDescent="0.3">
      <c r="H2530" s="85" t="s">
        <v>854</v>
      </c>
      <c r="I2530" s="86">
        <f>+O2506+O2508+O2510</f>
        <v>0</v>
      </c>
      <c r="J2530" s="77" t="e">
        <f>+K2493</f>
        <v>#REF!</v>
      </c>
      <c r="K2530" s="89" t="e">
        <f>+I2530+J2530</f>
        <v>#REF!</v>
      </c>
      <c r="M2530" s="45"/>
    </row>
    <row r="2531" spans="8:15" ht="16.5" thickBot="1" x14ac:dyDescent="0.3">
      <c r="H2531" s="90"/>
      <c r="I2531" s="94">
        <f>SUM(I2526:I2530)</f>
        <v>6119075</v>
      </c>
      <c r="J2531" s="94" t="e">
        <f>SUM(J2526:J2530)</f>
        <v>#REF!</v>
      </c>
      <c r="K2531" s="95" t="e">
        <f>SUM(K2526:K2530)</f>
        <v>#REF!</v>
      </c>
    </row>
    <row r="2532" spans="8:15" ht="16.5" x14ac:dyDescent="0.25">
      <c r="H2532" s="39" t="s">
        <v>46</v>
      </c>
      <c r="I2532" s="40"/>
    </row>
    <row r="2533" spans="8:15" x14ac:dyDescent="0.25">
      <c r="H2533" s="41" t="s">
        <v>47</v>
      </c>
    </row>
    <row r="2534" spans="8:15" x14ac:dyDescent="0.25">
      <c r="H2534" s="41" t="s">
        <v>48</v>
      </c>
    </row>
    <row r="2535" spans="8:15" x14ac:dyDescent="0.25">
      <c r="H2535" s="41" t="s">
        <v>49</v>
      </c>
    </row>
    <row r="2536" spans="8:15" ht="11.25" customHeight="1" x14ac:dyDescent="0.25">
      <c r="H2536" s="40"/>
      <c r="I2536" s="40"/>
    </row>
    <row r="2537" spans="8:15" ht="15.75" x14ac:dyDescent="0.25">
      <c r="H2537" s="188" t="s">
        <v>863</v>
      </c>
      <c r="N2537" s="45"/>
    </row>
    <row r="2538" spans="8:15" ht="15.75" x14ac:dyDescent="0.25">
      <c r="H2538" s="47" t="s">
        <v>704</v>
      </c>
      <c r="N2538" s="47"/>
    </row>
    <row r="2539" spans="8:15" ht="16.5" x14ac:dyDescent="0.25">
      <c r="H2539" s="326" t="s">
        <v>864</v>
      </c>
      <c r="I2539" s="326"/>
      <c r="J2539" s="326"/>
      <c r="K2539" s="326"/>
      <c r="L2539" s="326"/>
      <c r="M2539" s="326"/>
      <c r="N2539" s="326"/>
      <c r="O2539" s="326"/>
    </row>
    <row r="2540" spans="8:15" ht="15.75" thickBot="1" x14ac:dyDescent="0.3"/>
    <row r="2541" spans="8:15" x14ac:dyDescent="0.25">
      <c r="H2541" s="327" t="s">
        <v>56</v>
      </c>
      <c r="I2541" s="322" t="s">
        <v>57</v>
      </c>
      <c r="J2541" s="322" t="s">
        <v>58</v>
      </c>
      <c r="K2541" s="322" t="s">
        <v>7</v>
      </c>
      <c r="L2541" s="322" t="s">
        <v>59</v>
      </c>
      <c r="M2541" s="322" t="s">
        <v>60</v>
      </c>
      <c r="N2541" s="322" t="s">
        <v>61</v>
      </c>
      <c r="O2541" s="324"/>
    </row>
    <row r="2542" spans="8:15" ht="15.75" thickBot="1" x14ac:dyDescent="0.3">
      <c r="H2542" s="328"/>
      <c r="I2542" s="323"/>
      <c r="J2542" s="323"/>
      <c r="K2542" s="323"/>
      <c r="L2542" s="323"/>
      <c r="M2542" s="323"/>
      <c r="N2542" s="51" t="s">
        <v>62</v>
      </c>
      <c r="O2542" s="52" t="s">
        <v>63</v>
      </c>
    </row>
    <row r="2543" spans="8:15" ht="15" customHeight="1" x14ac:dyDescent="0.25">
      <c r="H2543" s="318">
        <v>270</v>
      </c>
      <c r="I2543" s="312">
        <v>42641</v>
      </c>
      <c r="J2543" s="314" t="s">
        <v>798</v>
      </c>
      <c r="K2543" s="316" t="s">
        <v>865</v>
      </c>
      <c r="L2543" s="318" t="s">
        <v>66</v>
      </c>
      <c r="M2543" s="320">
        <v>90000</v>
      </c>
      <c r="N2543" s="53">
        <v>719</v>
      </c>
      <c r="O2543" s="54">
        <v>90000</v>
      </c>
    </row>
    <row r="2544" spans="8:15" ht="15.75" customHeight="1" thickBot="1" x14ac:dyDescent="0.3">
      <c r="H2544" s="319"/>
      <c r="I2544" s="313"/>
      <c r="J2544" s="315"/>
      <c r="K2544" s="317"/>
      <c r="L2544" s="319"/>
      <c r="M2544" s="321"/>
      <c r="N2544" s="55">
        <v>721</v>
      </c>
      <c r="O2544" s="56">
        <f>+M2543-O2543</f>
        <v>0</v>
      </c>
    </row>
    <row r="2545" spans="8:15" ht="15" customHeight="1" x14ac:dyDescent="0.25">
      <c r="H2545" s="318">
        <v>271</v>
      </c>
      <c r="I2545" s="312">
        <v>42641</v>
      </c>
      <c r="J2545" s="314" t="s">
        <v>70</v>
      </c>
      <c r="K2545" s="316" t="s">
        <v>866</v>
      </c>
      <c r="L2545" s="318" t="s">
        <v>66</v>
      </c>
      <c r="M2545" s="320">
        <v>80000</v>
      </c>
      <c r="N2545" s="53">
        <v>719</v>
      </c>
      <c r="O2545" s="54">
        <v>80000</v>
      </c>
    </row>
    <row r="2546" spans="8:15" ht="15.75" customHeight="1" thickBot="1" x14ac:dyDescent="0.3">
      <c r="H2546" s="319"/>
      <c r="I2546" s="313"/>
      <c r="J2546" s="315"/>
      <c r="K2546" s="317"/>
      <c r="L2546" s="319"/>
      <c r="M2546" s="321"/>
      <c r="N2546" s="55">
        <v>721</v>
      </c>
      <c r="O2546" s="56">
        <f>+M2545-O2545</f>
        <v>0</v>
      </c>
    </row>
    <row r="2547" spans="8:15" ht="13.5" customHeight="1" x14ac:dyDescent="0.25">
      <c r="H2547" s="318">
        <v>272</v>
      </c>
      <c r="I2547" s="312">
        <v>42641</v>
      </c>
      <c r="J2547" s="314" t="s">
        <v>867</v>
      </c>
      <c r="K2547" s="316" t="s">
        <v>868</v>
      </c>
      <c r="L2547" s="318" t="s">
        <v>66</v>
      </c>
      <c r="M2547" s="320">
        <v>80000</v>
      </c>
      <c r="N2547" s="53">
        <v>719</v>
      </c>
      <c r="O2547" s="54">
        <v>80000</v>
      </c>
    </row>
    <row r="2548" spans="8:15" ht="14.25" customHeight="1" thickBot="1" x14ac:dyDescent="0.3">
      <c r="H2548" s="319"/>
      <c r="I2548" s="313"/>
      <c r="J2548" s="315"/>
      <c r="K2548" s="317"/>
      <c r="L2548" s="319"/>
      <c r="M2548" s="321"/>
      <c r="N2548" s="55">
        <v>721</v>
      </c>
      <c r="O2548" s="56">
        <f>+M2547-O2547</f>
        <v>0</v>
      </c>
    </row>
    <row r="2549" spans="8:15" ht="14.25" customHeight="1" x14ac:dyDescent="0.25">
      <c r="H2549" s="318"/>
      <c r="I2549" s="312"/>
      <c r="J2549" s="312"/>
      <c r="K2549" s="314"/>
      <c r="L2549" s="316"/>
      <c r="M2549" s="320"/>
      <c r="N2549" s="53">
        <v>719</v>
      </c>
      <c r="O2549" s="54"/>
    </row>
    <row r="2550" spans="8:15" ht="13.5" customHeight="1" thickBot="1" x14ac:dyDescent="0.3">
      <c r="H2550" s="319"/>
      <c r="I2550" s="313"/>
      <c r="J2550" s="313"/>
      <c r="K2550" s="315"/>
      <c r="L2550" s="317"/>
      <c r="M2550" s="321"/>
      <c r="N2550" s="55">
        <v>721</v>
      </c>
      <c r="O2550" s="56">
        <f>+M2549-O2549</f>
        <v>0</v>
      </c>
    </row>
    <row r="2551" spans="8:15" ht="14.25" customHeight="1" x14ac:dyDescent="0.25">
      <c r="H2551" s="318"/>
      <c r="I2551" s="312"/>
      <c r="J2551" s="314"/>
      <c r="K2551" s="316"/>
      <c r="L2551" s="318"/>
      <c r="M2551" s="320"/>
      <c r="N2551" s="53">
        <v>719</v>
      </c>
      <c r="O2551" s="54"/>
    </row>
    <row r="2552" spans="8:15" ht="13.5" customHeight="1" thickBot="1" x14ac:dyDescent="0.3">
      <c r="H2552" s="319"/>
      <c r="I2552" s="313"/>
      <c r="J2552" s="315"/>
      <c r="K2552" s="317"/>
      <c r="L2552" s="319"/>
      <c r="M2552" s="321"/>
      <c r="N2552" s="55">
        <v>723</v>
      </c>
      <c r="O2552" s="56">
        <f>+M2551-O2551</f>
        <v>0</v>
      </c>
    </row>
    <row r="2553" spans="8:15" ht="16.5" thickBot="1" x14ac:dyDescent="0.3">
      <c r="H2553" s="297" t="s">
        <v>80</v>
      </c>
      <c r="I2553" s="298"/>
      <c r="J2553" s="298"/>
      <c r="K2553" s="298"/>
      <c r="L2553" s="299"/>
      <c r="M2553" s="62">
        <f>SUM(M2543:M2552)</f>
        <v>250000</v>
      </c>
    </row>
    <row r="2554" spans="8:15" ht="16.5" thickBot="1" x14ac:dyDescent="0.3">
      <c r="H2554" s="300" t="s">
        <v>81</v>
      </c>
      <c r="I2554" s="301"/>
      <c r="J2554" s="301"/>
      <c r="K2554" s="301"/>
      <c r="L2554" s="302"/>
      <c r="M2554" s="63">
        <f>+M2518</f>
        <v>103506097</v>
      </c>
      <c r="N2554" s="64" t="s">
        <v>82</v>
      </c>
      <c r="O2554" s="65">
        <f>325+46+159</f>
        <v>530</v>
      </c>
    </row>
    <row r="2555" spans="8:15" ht="16.5" thickBot="1" x14ac:dyDescent="0.3">
      <c r="H2555" s="303" t="s">
        <v>83</v>
      </c>
      <c r="I2555" s="304"/>
      <c r="J2555" s="304"/>
      <c r="K2555" s="304"/>
      <c r="L2555" s="305"/>
      <c r="M2555" s="66">
        <f>SUM(M2553:M2554)</f>
        <v>103756097</v>
      </c>
    </row>
    <row r="2556" spans="8:15" x14ac:dyDescent="0.25">
      <c r="H2556" s="67"/>
      <c r="I2556" s="67"/>
      <c r="J2556" s="67"/>
      <c r="K2556" s="67"/>
      <c r="L2556" s="67"/>
    </row>
    <row r="2557" spans="8:15" x14ac:dyDescent="0.25">
      <c r="H2557" s="41" t="s">
        <v>869</v>
      </c>
    </row>
    <row r="2558" spans="8:15" ht="12.75" customHeight="1" x14ac:dyDescent="0.25">
      <c r="M2558" s="68"/>
    </row>
    <row r="2559" spans="8:15" x14ac:dyDescent="0.25">
      <c r="H2559" s="40" t="s">
        <v>86</v>
      </c>
      <c r="K2559" s="69"/>
      <c r="M2559" s="68"/>
    </row>
    <row r="2560" spans="8:15" ht="14.25" customHeight="1" thickBot="1" x14ac:dyDescent="0.3"/>
    <row r="2561" spans="8:15" ht="15.75" thickBot="1" x14ac:dyDescent="0.3">
      <c r="H2561" s="306" t="s">
        <v>87</v>
      </c>
      <c r="I2561" s="307"/>
      <c r="J2561" s="307"/>
      <c r="K2561" s="308"/>
      <c r="M2561" s="40" t="s">
        <v>89</v>
      </c>
    </row>
    <row r="2562" spans="8:15" ht="30.75" thickBot="1" x14ac:dyDescent="0.3">
      <c r="H2562" s="70" t="s">
        <v>62</v>
      </c>
      <c r="I2562" s="71" t="s">
        <v>90</v>
      </c>
      <c r="J2562" s="204" t="s">
        <v>91</v>
      </c>
      <c r="K2562" s="73" t="s">
        <v>92</v>
      </c>
    </row>
    <row r="2563" spans="8:15" x14ac:dyDescent="0.25">
      <c r="H2563" s="75">
        <v>719</v>
      </c>
      <c r="I2563" s="76">
        <f>+O2543+O2545+O2547</f>
        <v>250000</v>
      </c>
      <c r="J2563" s="77">
        <f>+K2526</f>
        <v>25090000</v>
      </c>
      <c r="K2563" s="79">
        <f>+I2563+J2563</f>
        <v>25340000</v>
      </c>
    </row>
    <row r="2564" spans="8:15" x14ac:dyDescent="0.25">
      <c r="H2564" s="80">
        <v>721</v>
      </c>
      <c r="I2564" s="81">
        <f>+O2544+O2546+O2548+O2550+O2552</f>
        <v>0</v>
      </c>
      <c r="J2564" s="77">
        <f>+K2527</f>
        <v>92141134</v>
      </c>
      <c r="K2564" s="79">
        <f>+I2564+J2564</f>
        <v>92141134</v>
      </c>
    </row>
    <row r="2565" spans="8:15" x14ac:dyDescent="0.25">
      <c r="H2565" s="80">
        <v>722</v>
      </c>
      <c r="I2565" s="81"/>
      <c r="J2565" s="77">
        <f>+K2528</f>
        <v>2000000</v>
      </c>
      <c r="K2565" s="79">
        <f>+I2565+J2565</f>
        <v>2000000</v>
      </c>
    </row>
    <row r="2566" spans="8:15" ht="15.75" x14ac:dyDescent="0.25">
      <c r="H2566" s="80">
        <v>723</v>
      </c>
      <c r="I2566" s="81"/>
      <c r="J2566" s="77">
        <f>+K2529</f>
        <v>0</v>
      </c>
      <c r="K2566" s="79">
        <f>+I2566+J2566</f>
        <v>0</v>
      </c>
      <c r="M2566" s="109" t="s">
        <v>304</v>
      </c>
      <c r="N2566" s="84"/>
    </row>
    <row r="2567" spans="8:15" ht="16.5" thickBot="1" x14ac:dyDescent="0.3">
      <c r="H2567" s="85" t="s">
        <v>854</v>
      </c>
      <c r="I2567" s="86"/>
      <c r="J2567" s="77" t="e">
        <f>+K2530</f>
        <v>#REF!</v>
      </c>
      <c r="K2567" s="89" t="e">
        <f>+I2567+J2567</f>
        <v>#REF!</v>
      </c>
      <c r="M2567" s="45"/>
    </row>
    <row r="2568" spans="8:15" ht="16.5" thickBot="1" x14ac:dyDescent="0.3">
      <c r="H2568" s="90"/>
      <c r="I2568" s="94">
        <f>SUM(I2563:I2567)</f>
        <v>250000</v>
      </c>
      <c r="J2568" s="94" t="e">
        <f>SUM(J2563:J2567)</f>
        <v>#REF!</v>
      </c>
      <c r="K2568" s="95" t="e">
        <f>SUM(K2563:K2567)</f>
        <v>#REF!</v>
      </c>
    </row>
    <row r="2569" spans="8:15" ht="16.5" x14ac:dyDescent="0.25">
      <c r="H2569" s="39" t="s">
        <v>46</v>
      </c>
      <c r="I2569" s="40"/>
    </row>
    <row r="2570" spans="8:15" x14ac:dyDescent="0.25">
      <c r="H2570" s="41" t="s">
        <v>47</v>
      </c>
    </row>
    <row r="2571" spans="8:15" x14ac:dyDescent="0.25">
      <c r="H2571" s="41" t="s">
        <v>48</v>
      </c>
    </row>
    <row r="2572" spans="8:15" x14ac:dyDescent="0.25">
      <c r="H2572" s="41" t="s">
        <v>49</v>
      </c>
    </row>
    <row r="2573" spans="8:15" ht="14.25" customHeight="1" x14ac:dyDescent="0.25">
      <c r="H2573" s="40"/>
      <c r="I2573" s="40"/>
    </row>
    <row r="2574" spans="8:15" ht="15.75" x14ac:dyDescent="0.25">
      <c r="H2574" s="188" t="s">
        <v>870</v>
      </c>
      <c r="N2574" s="45"/>
    </row>
    <row r="2575" spans="8:15" ht="15.75" x14ac:dyDescent="0.25">
      <c r="H2575" s="47" t="s">
        <v>704</v>
      </c>
      <c r="N2575" s="47"/>
    </row>
    <row r="2576" spans="8:15" ht="16.5" x14ac:dyDescent="0.25">
      <c r="H2576" s="326" t="s">
        <v>864</v>
      </c>
      <c r="I2576" s="326"/>
      <c r="J2576" s="326"/>
      <c r="K2576" s="326"/>
      <c r="L2576" s="326"/>
      <c r="M2576" s="326"/>
      <c r="N2576" s="326"/>
      <c r="O2576" s="326"/>
    </row>
    <row r="2577" spans="8:15" ht="12.75" customHeight="1" thickBot="1" x14ac:dyDescent="0.3"/>
    <row r="2578" spans="8:15" x14ac:dyDescent="0.25">
      <c r="H2578" s="327" t="s">
        <v>56</v>
      </c>
      <c r="I2578" s="322" t="s">
        <v>57</v>
      </c>
      <c r="J2578" s="322" t="s">
        <v>58</v>
      </c>
      <c r="K2578" s="322" t="s">
        <v>7</v>
      </c>
      <c r="L2578" s="322" t="s">
        <v>59</v>
      </c>
      <c r="M2578" s="322" t="s">
        <v>60</v>
      </c>
      <c r="N2578" s="322" t="s">
        <v>61</v>
      </c>
      <c r="O2578" s="324"/>
    </row>
    <row r="2579" spans="8:15" ht="15.75" thickBot="1" x14ac:dyDescent="0.3">
      <c r="H2579" s="328"/>
      <c r="I2579" s="323"/>
      <c r="J2579" s="323"/>
      <c r="K2579" s="323"/>
      <c r="L2579" s="323"/>
      <c r="M2579" s="323"/>
      <c r="N2579" s="51" t="s">
        <v>62</v>
      </c>
      <c r="O2579" s="52" t="s">
        <v>63</v>
      </c>
    </row>
    <row r="2580" spans="8:15" ht="15" customHeight="1" x14ac:dyDescent="0.25">
      <c r="H2580" s="318">
        <v>273</v>
      </c>
      <c r="I2580" s="312">
        <v>42648</v>
      </c>
      <c r="J2580" s="314" t="s">
        <v>798</v>
      </c>
      <c r="K2580" s="316" t="s">
        <v>871</v>
      </c>
      <c r="L2580" s="318" t="s">
        <v>66</v>
      </c>
      <c r="M2580" s="320">
        <v>60000</v>
      </c>
      <c r="N2580" s="53">
        <v>719</v>
      </c>
      <c r="O2580" s="54">
        <v>60000</v>
      </c>
    </row>
    <row r="2581" spans="8:15" ht="15.75" customHeight="1" thickBot="1" x14ac:dyDescent="0.3">
      <c r="H2581" s="319"/>
      <c r="I2581" s="313"/>
      <c r="J2581" s="315"/>
      <c r="K2581" s="317"/>
      <c r="L2581" s="319"/>
      <c r="M2581" s="321"/>
      <c r="N2581" s="55">
        <v>721</v>
      </c>
      <c r="O2581" s="56">
        <f>+M2580-O2580</f>
        <v>0</v>
      </c>
    </row>
    <row r="2582" spans="8:15" ht="15" customHeight="1" x14ac:dyDescent="0.25">
      <c r="H2582" s="318">
        <v>274</v>
      </c>
      <c r="I2582" s="312">
        <v>42648</v>
      </c>
      <c r="J2582" s="314" t="s">
        <v>70</v>
      </c>
      <c r="K2582" s="316" t="s">
        <v>872</v>
      </c>
      <c r="L2582" s="318" t="s">
        <v>66</v>
      </c>
      <c r="M2582" s="320">
        <v>40000</v>
      </c>
      <c r="N2582" s="53">
        <v>719</v>
      </c>
      <c r="O2582" s="54">
        <v>40000</v>
      </c>
    </row>
    <row r="2583" spans="8:15" ht="15.75" customHeight="1" thickBot="1" x14ac:dyDescent="0.3">
      <c r="H2583" s="319"/>
      <c r="I2583" s="313"/>
      <c r="J2583" s="315"/>
      <c r="K2583" s="317"/>
      <c r="L2583" s="319"/>
      <c r="M2583" s="321"/>
      <c r="N2583" s="55">
        <v>721</v>
      </c>
      <c r="O2583" s="56">
        <f>+M2582-O2582</f>
        <v>0</v>
      </c>
    </row>
    <row r="2584" spans="8:15" ht="15" customHeight="1" x14ac:dyDescent="0.25">
      <c r="H2584" s="318">
        <v>275</v>
      </c>
      <c r="I2584" s="312">
        <v>42648</v>
      </c>
      <c r="J2584" s="314" t="s">
        <v>251</v>
      </c>
      <c r="K2584" s="316" t="s">
        <v>871</v>
      </c>
      <c r="L2584" s="318" t="s">
        <v>66</v>
      </c>
      <c r="M2584" s="320">
        <v>100000</v>
      </c>
      <c r="N2584" s="53">
        <v>719</v>
      </c>
      <c r="O2584" s="54">
        <v>100000</v>
      </c>
    </row>
    <row r="2585" spans="8:15" ht="15.75" customHeight="1" thickBot="1" x14ac:dyDescent="0.3">
      <c r="H2585" s="319"/>
      <c r="I2585" s="313"/>
      <c r="J2585" s="315"/>
      <c r="K2585" s="317"/>
      <c r="L2585" s="319"/>
      <c r="M2585" s="321"/>
      <c r="N2585" s="55">
        <v>721</v>
      </c>
      <c r="O2585" s="56">
        <f>+M2584-O2584</f>
        <v>0</v>
      </c>
    </row>
    <row r="2586" spans="8:15" ht="15" customHeight="1" x14ac:dyDescent="0.25">
      <c r="H2586" s="318"/>
      <c r="I2586" s="312"/>
      <c r="J2586" s="314"/>
      <c r="K2586" s="316"/>
      <c r="L2586" s="318"/>
      <c r="M2586" s="320"/>
      <c r="N2586" s="53">
        <v>719</v>
      </c>
      <c r="O2586" s="54">
        <v>0</v>
      </c>
    </row>
    <row r="2587" spans="8:15" ht="15.75" customHeight="1" thickBot="1" x14ac:dyDescent="0.3">
      <c r="H2587" s="319"/>
      <c r="I2587" s="313"/>
      <c r="J2587" s="315"/>
      <c r="K2587" s="317"/>
      <c r="L2587" s="319"/>
      <c r="M2587" s="321"/>
      <c r="N2587" s="55">
        <v>721</v>
      </c>
      <c r="O2587" s="56">
        <f>+M2586-O2586</f>
        <v>0</v>
      </c>
    </row>
    <row r="2588" spans="8:15" ht="15" customHeight="1" x14ac:dyDescent="0.25">
      <c r="H2588" s="318"/>
      <c r="I2588" s="312"/>
      <c r="J2588" s="314"/>
      <c r="K2588" s="316"/>
      <c r="L2588" s="318"/>
      <c r="M2588" s="320"/>
      <c r="N2588" s="53">
        <v>719</v>
      </c>
      <c r="O2588" s="54"/>
    </row>
    <row r="2589" spans="8:15" ht="15.75" customHeight="1" thickBot="1" x14ac:dyDescent="0.3">
      <c r="H2589" s="319"/>
      <c r="I2589" s="313"/>
      <c r="J2589" s="315"/>
      <c r="K2589" s="317"/>
      <c r="L2589" s="319"/>
      <c r="M2589" s="321"/>
      <c r="N2589" s="55">
        <v>723</v>
      </c>
      <c r="O2589" s="56">
        <f>+M2588-O2588</f>
        <v>0</v>
      </c>
    </row>
    <row r="2590" spans="8:15" ht="16.5" thickBot="1" x14ac:dyDescent="0.3">
      <c r="H2590" s="297" t="s">
        <v>80</v>
      </c>
      <c r="I2590" s="298"/>
      <c r="J2590" s="298"/>
      <c r="K2590" s="298"/>
      <c r="L2590" s="299"/>
      <c r="M2590" s="62">
        <f>SUM(M2580:M2589)</f>
        <v>200000</v>
      </c>
    </row>
    <row r="2591" spans="8:15" ht="16.5" thickBot="1" x14ac:dyDescent="0.3">
      <c r="H2591" s="300" t="s">
        <v>81</v>
      </c>
      <c r="I2591" s="301"/>
      <c r="J2591" s="301"/>
      <c r="K2591" s="301"/>
      <c r="L2591" s="302"/>
      <c r="M2591" s="63">
        <f>+M2555</f>
        <v>103756097</v>
      </c>
      <c r="N2591" s="64" t="s">
        <v>82</v>
      </c>
      <c r="O2591" s="65"/>
    </row>
    <row r="2592" spans="8:15" ht="16.5" thickBot="1" x14ac:dyDescent="0.3">
      <c r="H2592" s="303" t="s">
        <v>83</v>
      </c>
      <c r="I2592" s="304"/>
      <c r="J2592" s="304"/>
      <c r="K2592" s="304"/>
      <c r="L2592" s="305"/>
      <c r="M2592" s="66">
        <f>SUM(M2590:M2591)</f>
        <v>103956097</v>
      </c>
    </row>
    <row r="2593" spans="8:15" x14ac:dyDescent="0.25">
      <c r="H2593" s="67"/>
      <c r="I2593" s="67"/>
      <c r="J2593" s="67"/>
      <c r="K2593" s="67"/>
      <c r="L2593" s="67"/>
    </row>
    <row r="2594" spans="8:15" x14ac:dyDescent="0.25">
      <c r="H2594" s="41" t="s">
        <v>873</v>
      </c>
    </row>
    <row r="2595" spans="8:15" ht="12.75" customHeight="1" x14ac:dyDescent="0.25">
      <c r="M2595" s="68"/>
    </row>
    <row r="2596" spans="8:15" x14ac:dyDescent="0.25">
      <c r="H2596" s="40" t="s">
        <v>86</v>
      </c>
      <c r="K2596" s="69"/>
      <c r="M2596" s="68"/>
    </row>
    <row r="2597" spans="8:15" ht="13.5" customHeight="1" thickBot="1" x14ac:dyDescent="0.3"/>
    <row r="2598" spans="8:15" ht="15.75" thickBot="1" x14ac:dyDescent="0.3">
      <c r="H2598" s="306" t="s">
        <v>87</v>
      </c>
      <c r="I2598" s="307"/>
      <c r="J2598" s="307"/>
      <c r="K2598" s="308"/>
      <c r="M2598" s="333" t="s">
        <v>874</v>
      </c>
      <c r="N2598" s="333"/>
      <c r="O2598" s="333"/>
    </row>
    <row r="2599" spans="8:15" ht="30.75" thickBot="1" x14ac:dyDescent="0.3">
      <c r="H2599" s="70" t="s">
        <v>62</v>
      </c>
      <c r="I2599" s="71" t="s">
        <v>90</v>
      </c>
      <c r="J2599" s="204" t="s">
        <v>91</v>
      </c>
      <c r="K2599" s="73" t="s">
        <v>92</v>
      </c>
    </row>
    <row r="2600" spans="8:15" x14ac:dyDescent="0.25">
      <c r="H2600" s="75">
        <v>719</v>
      </c>
      <c r="I2600" s="76">
        <f>+O2588+O2586+O2584+O2582+O2580</f>
        <v>200000</v>
      </c>
      <c r="J2600" s="77">
        <f>+K2563</f>
        <v>25340000</v>
      </c>
      <c r="K2600" s="79">
        <f>+I2600+J2600</f>
        <v>25540000</v>
      </c>
    </row>
    <row r="2601" spans="8:15" x14ac:dyDescent="0.25">
      <c r="H2601" s="80">
        <v>721</v>
      </c>
      <c r="I2601" s="81"/>
      <c r="J2601" s="77">
        <f>+K2564</f>
        <v>92141134</v>
      </c>
      <c r="K2601" s="79">
        <f>+I2601+J2601</f>
        <v>92141134</v>
      </c>
    </row>
    <row r="2602" spans="8:15" x14ac:dyDescent="0.25">
      <c r="H2602" s="80">
        <v>722</v>
      </c>
      <c r="I2602" s="81"/>
      <c r="J2602" s="77">
        <f>+K2565</f>
        <v>2000000</v>
      </c>
      <c r="K2602" s="79">
        <f>+I2602+J2602</f>
        <v>2000000</v>
      </c>
    </row>
    <row r="2603" spans="8:15" ht="15.75" x14ac:dyDescent="0.25">
      <c r="H2603" s="80">
        <v>723</v>
      </c>
      <c r="I2603" s="81"/>
      <c r="J2603" s="77">
        <f>+K2566</f>
        <v>0</v>
      </c>
      <c r="K2603" s="79">
        <f>+I2603+J2603</f>
        <v>0</v>
      </c>
      <c r="M2603" s="334" t="s">
        <v>875</v>
      </c>
      <c r="N2603" s="334"/>
      <c r="O2603" s="334"/>
    </row>
    <row r="2604" spans="8:15" ht="16.5" thickBot="1" x14ac:dyDescent="0.3">
      <c r="H2604" s="85" t="s">
        <v>854</v>
      </c>
      <c r="I2604" s="86"/>
      <c r="J2604" s="77" t="e">
        <f>+K2567</f>
        <v>#REF!</v>
      </c>
      <c r="K2604" s="89" t="e">
        <f>+I2604+J2604</f>
        <v>#REF!</v>
      </c>
      <c r="M2604" s="45"/>
    </row>
    <row r="2605" spans="8:15" ht="16.5" thickBot="1" x14ac:dyDescent="0.3">
      <c r="H2605" s="90"/>
      <c r="I2605" s="94">
        <f>SUM(I2600:I2604)</f>
        <v>200000</v>
      </c>
      <c r="J2605" s="94" t="e">
        <f>SUM(J2600:J2604)</f>
        <v>#REF!</v>
      </c>
      <c r="K2605" s="95" t="e">
        <f>SUM(K2600:K2604)</f>
        <v>#REF!</v>
      </c>
    </row>
    <row r="2606" spans="8:15" ht="16.5" x14ac:dyDescent="0.25">
      <c r="H2606" s="39" t="s">
        <v>46</v>
      </c>
      <c r="I2606" s="40"/>
    </row>
    <row r="2607" spans="8:15" x14ac:dyDescent="0.25">
      <c r="H2607" s="41" t="s">
        <v>47</v>
      </c>
    </row>
    <row r="2608" spans="8:15" x14ac:dyDescent="0.25">
      <c r="H2608" s="41" t="s">
        <v>48</v>
      </c>
    </row>
    <row r="2609" spans="8:15" x14ac:dyDescent="0.25">
      <c r="H2609" s="41" t="s">
        <v>49</v>
      </c>
    </row>
    <row r="2610" spans="8:15" ht="12" customHeight="1" x14ac:dyDescent="0.25">
      <c r="H2610" s="40"/>
      <c r="I2610" s="40"/>
    </row>
    <row r="2611" spans="8:15" ht="15.75" x14ac:dyDescent="0.25">
      <c r="H2611" s="188" t="s">
        <v>876</v>
      </c>
      <c r="N2611" s="45"/>
    </row>
    <row r="2612" spans="8:15" ht="15.75" x14ac:dyDescent="0.25">
      <c r="H2612" s="47" t="s">
        <v>704</v>
      </c>
      <c r="N2612" s="47"/>
    </row>
    <row r="2613" spans="8:15" ht="15" customHeight="1" x14ac:dyDescent="0.25">
      <c r="H2613" s="326" t="s">
        <v>845</v>
      </c>
      <c r="I2613" s="326"/>
      <c r="J2613" s="326"/>
      <c r="K2613" s="326"/>
      <c r="L2613" s="326"/>
      <c r="M2613" s="326"/>
      <c r="N2613" s="326"/>
      <c r="O2613" s="326"/>
    </row>
    <row r="2614" spans="8:15" ht="13.5" customHeight="1" thickBot="1" x14ac:dyDescent="0.3"/>
    <row r="2615" spans="8:15" x14ac:dyDescent="0.25">
      <c r="H2615" s="327" t="s">
        <v>56</v>
      </c>
      <c r="I2615" s="322" t="s">
        <v>57</v>
      </c>
      <c r="J2615" s="322" t="s">
        <v>58</v>
      </c>
      <c r="K2615" s="322" t="s">
        <v>7</v>
      </c>
      <c r="L2615" s="322" t="s">
        <v>59</v>
      </c>
      <c r="M2615" s="322" t="s">
        <v>60</v>
      </c>
      <c r="N2615" s="322" t="s">
        <v>61</v>
      </c>
      <c r="O2615" s="324"/>
    </row>
    <row r="2616" spans="8:15" ht="15.75" thickBot="1" x14ac:dyDescent="0.3">
      <c r="H2616" s="328"/>
      <c r="I2616" s="323"/>
      <c r="J2616" s="323"/>
      <c r="K2616" s="323"/>
      <c r="L2616" s="323"/>
      <c r="M2616" s="323"/>
      <c r="N2616" s="51" t="s">
        <v>62</v>
      </c>
      <c r="O2616" s="52" t="s">
        <v>63</v>
      </c>
    </row>
    <row r="2617" spans="8:15" ht="12.75" customHeight="1" x14ac:dyDescent="0.25">
      <c r="H2617" s="318">
        <v>276</v>
      </c>
      <c r="I2617" s="312">
        <v>42650</v>
      </c>
      <c r="J2617" s="314" t="s">
        <v>877</v>
      </c>
      <c r="K2617" s="316" t="s">
        <v>878</v>
      </c>
      <c r="L2617" s="318" t="s">
        <v>5</v>
      </c>
      <c r="M2617" s="320">
        <v>598000</v>
      </c>
      <c r="N2617" s="53">
        <v>719</v>
      </c>
      <c r="O2617" s="54">
        <v>460000</v>
      </c>
    </row>
    <row r="2618" spans="8:15" ht="12" customHeight="1" thickBot="1" x14ac:dyDescent="0.3">
      <c r="H2618" s="319"/>
      <c r="I2618" s="313"/>
      <c r="J2618" s="315"/>
      <c r="K2618" s="317"/>
      <c r="L2618" s="319"/>
      <c r="M2618" s="321"/>
      <c r="N2618" s="55">
        <v>721</v>
      </c>
      <c r="O2618" s="206">
        <f>+M2617-O2617</f>
        <v>138000</v>
      </c>
    </row>
    <row r="2619" spans="8:15" ht="12.75" customHeight="1" x14ac:dyDescent="0.25">
      <c r="H2619" s="318">
        <v>277</v>
      </c>
      <c r="I2619" s="312">
        <v>42650</v>
      </c>
      <c r="J2619" s="314" t="s">
        <v>877</v>
      </c>
      <c r="K2619" s="316" t="s">
        <v>821</v>
      </c>
      <c r="L2619" s="318" t="s">
        <v>5</v>
      </c>
      <c r="M2619" s="320">
        <v>1521000</v>
      </c>
      <c r="N2619" s="53">
        <v>719</v>
      </c>
      <c r="O2619" s="54">
        <v>1170000</v>
      </c>
    </row>
    <row r="2620" spans="8:15" ht="12" customHeight="1" thickBot="1" x14ac:dyDescent="0.3">
      <c r="H2620" s="319"/>
      <c r="I2620" s="313"/>
      <c r="J2620" s="315"/>
      <c r="K2620" s="317"/>
      <c r="L2620" s="319"/>
      <c r="M2620" s="321"/>
      <c r="N2620" s="55">
        <v>721</v>
      </c>
      <c r="O2620" s="113">
        <f>+M2619-O2619</f>
        <v>351000</v>
      </c>
    </row>
    <row r="2621" spans="8:15" ht="15" customHeight="1" x14ac:dyDescent="0.25">
      <c r="H2621" s="318">
        <v>278</v>
      </c>
      <c r="I2621" s="312">
        <v>42650</v>
      </c>
      <c r="J2621" s="314" t="s">
        <v>877</v>
      </c>
      <c r="K2621" s="316" t="s">
        <v>871</v>
      </c>
      <c r="L2621" s="318" t="s">
        <v>5</v>
      </c>
      <c r="M2621" s="320">
        <v>923000</v>
      </c>
      <c r="N2621" s="53">
        <v>719</v>
      </c>
      <c r="O2621" s="54">
        <v>710000</v>
      </c>
    </row>
    <row r="2622" spans="8:15" ht="12" customHeight="1" thickBot="1" x14ac:dyDescent="0.3">
      <c r="H2622" s="319"/>
      <c r="I2622" s="313"/>
      <c r="J2622" s="315"/>
      <c r="K2622" s="317"/>
      <c r="L2622" s="319"/>
      <c r="M2622" s="321"/>
      <c r="N2622" s="55">
        <v>721</v>
      </c>
      <c r="O2622" s="113">
        <f>+M2621-O2621</f>
        <v>213000</v>
      </c>
    </row>
    <row r="2623" spans="8:15" ht="15" customHeight="1" x14ac:dyDescent="0.25">
      <c r="H2623" s="318">
        <v>279</v>
      </c>
      <c r="I2623" s="312">
        <v>42650</v>
      </c>
      <c r="J2623" s="314" t="s">
        <v>877</v>
      </c>
      <c r="K2623" s="316" t="s">
        <v>871</v>
      </c>
      <c r="L2623" s="318" t="s">
        <v>5</v>
      </c>
      <c r="M2623" s="320">
        <v>715000</v>
      </c>
      <c r="N2623" s="53">
        <v>719</v>
      </c>
      <c r="O2623" s="54">
        <v>550000</v>
      </c>
    </row>
    <row r="2624" spans="8:15" ht="13.5" customHeight="1" thickBot="1" x14ac:dyDescent="0.3">
      <c r="H2624" s="319"/>
      <c r="I2624" s="313"/>
      <c r="J2624" s="315"/>
      <c r="K2624" s="317"/>
      <c r="L2624" s="319"/>
      <c r="M2624" s="321"/>
      <c r="N2624" s="55">
        <v>721</v>
      </c>
      <c r="O2624" s="56">
        <f>+M2623-O2623</f>
        <v>165000</v>
      </c>
    </row>
    <row r="2625" spans="8:15" ht="15" customHeight="1" x14ac:dyDescent="0.25">
      <c r="H2625" s="318">
        <v>280</v>
      </c>
      <c r="I2625" s="312">
        <v>42650</v>
      </c>
      <c r="J2625" s="314" t="s">
        <v>877</v>
      </c>
      <c r="K2625" s="316" t="s">
        <v>871</v>
      </c>
      <c r="L2625" s="318" t="s">
        <v>5</v>
      </c>
      <c r="M2625" s="320">
        <v>879000</v>
      </c>
      <c r="N2625" s="53">
        <v>719</v>
      </c>
      <c r="O2625" s="54">
        <v>720000</v>
      </c>
    </row>
    <row r="2626" spans="8:15" ht="15" customHeight="1" thickBot="1" x14ac:dyDescent="0.3">
      <c r="H2626" s="319"/>
      <c r="I2626" s="313"/>
      <c r="J2626" s="315"/>
      <c r="K2626" s="317"/>
      <c r="L2626" s="319"/>
      <c r="M2626" s="321"/>
      <c r="N2626" s="55">
        <v>721</v>
      </c>
      <c r="O2626" s="56">
        <f>+M2625-O2625</f>
        <v>159000</v>
      </c>
    </row>
    <row r="2627" spans="8:15" ht="12.75" customHeight="1" x14ac:dyDescent="0.25">
      <c r="H2627" s="318">
        <v>281</v>
      </c>
      <c r="I2627" s="312">
        <v>42650</v>
      </c>
      <c r="J2627" s="314" t="s">
        <v>877</v>
      </c>
      <c r="K2627" s="316" t="s">
        <v>871</v>
      </c>
      <c r="L2627" s="318" t="s">
        <v>5</v>
      </c>
      <c r="M2627" s="320">
        <v>300000</v>
      </c>
      <c r="N2627" s="53">
        <v>719</v>
      </c>
      <c r="O2627" s="54">
        <v>300000</v>
      </c>
    </row>
    <row r="2628" spans="8:15" ht="13.5" customHeight="1" thickBot="1" x14ac:dyDescent="0.3">
      <c r="H2628" s="319"/>
      <c r="I2628" s="313"/>
      <c r="J2628" s="315"/>
      <c r="K2628" s="317"/>
      <c r="L2628" s="319"/>
      <c r="M2628" s="321"/>
      <c r="N2628" s="55">
        <v>723</v>
      </c>
      <c r="O2628" s="56">
        <f>+M2627-O2627</f>
        <v>0</v>
      </c>
    </row>
    <row r="2629" spans="8:15" ht="16.5" thickBot="1" x14ac:dyDescent="0.3">
      <c r="H2629" s="297" t="s">
        <v>80</v>
      </c>
      <c r="I2629" s="298"/>
      <c r="J2629" s="298"/>
      <c r="K2629" s="298"/>
      <c r="L2629" s="299"/>
      <c r="M2629" s="62">
        <f>SUM(M2617:M2628)</f>
        <v>4936000</v>
      </c>
    </row>
    <row r="2630" spans="8:15" ht="16.5" thickBot="1" x14ac:dyDescent="0.3">
      <c r="H2630" s="300" t="s">
        <v>81</v>
      </c>
      <c r="I2630" s="301"/>
      <c r="J2630" s="301"/>
      <c r="K2630" s="301"/>
      <c r="L2630" s="302"/>
      <c r="M2630" s="63">
        <f>+M2592</f>
        <v>103956097</v>
      </c>
      <c r="N2630" s="64" t="s">
        <v>82</v>
      </c>
      <c r="O2630" s="65">
        <v>6648</v>
      </c>
    </row>
    <row r="2631" spans="8:15" ht="16.5" thickBot="1" x14ac:dyDescent="0.3">
      <c r="H2631" s="303" t="s">
        <v>83</v>
      </c>
      <c r="I2631" s="304"/>
      <c r="J2631" s="304"/>
      <c r="K2631" s="304"/>
      <c r="L2631" s="305"/>
      <c r="M2631" s="66">
        <f>SUM(M2629:M2630)</f>
        <v>108892097</v>
      </c>
    </row>
    <row r="2632" spans="8:15" ht="13.5" customHeight="1" x14ac:dyDescent="0.25">
      <c r="H2632" s="67"/>
      <c r="I2632" s="67"/>
      <c r="J2632" s="67"/>
      <c r="K2632" s="67"/>
      <c r="L2632" s="67"/>
    </row>
    <row r="2633" spans="8:15" x14ac:dyDescent="0.25">
      <c r="H2633" s="41" t="s">
        <v>879</v>
      </c>
    </row>
    <row r="2634" spans="8:15" ht="10.5" customHeight="1" x14ac:dyDescent="0.25">
      <c r="M2634" s="68"/>
    </row>
    <row r="2635" spans="8:15" x14ac:dyDescent="0.25">
      <c r="H2635" s="40" t="s">
        <v>86</v>
      </c>
      <c r="K2635" s="69"/>
      <c r="M2635" s="68"/>
    </row>
    <row r="2636" spans="8:15" ht="10.5" customHeight="1" thickBot="1" x14ac:dyDescent="0.3"/>
    <row r="2637" spans="8:15" ht="15.75" thickBot="1" x14ac:dyDescent="0.3">
      <c r="H2637" s="306" t="s">
        <v>87</v>
      </c>
      <c r="I2637" s="307"/>
      <c r="J2637" s="307"/>
      <c r="K2637" s="308"/>
      <c r="M2637" s="40" t="s">
        <v>89</v>
      </c>
    </row>
    <row r="2638" spans="8:15" ht="30.75" thickBot="1" x14ac:dyDescent="0.3">
      <c r="H2638" s="70" t="s">
        <v>62</v>
      </c>
      <c r="I2638" s="71" t="s">
        <v>90</v>
      </c>
      <c r="J2638" s="204" t="s">
        <v>91</v>
      </c>
      <c r="K2638" s="73" t="s">
        <v>92</v>
      </c>
    </row>
    <row r="2639" spans="8:15" x14ac:dyDescent="0.25">
      <c r="H2639" s="75">
        <v>719</v>
      </c>
      <c r="I2639" s="76">
        <f>+O2617+O2619+O2621+O2623+O2625+O2627</f>
        <v>3910000</v>
      </c>
      <c r="J2639" s="77">
        <f>+K2600</f>
        <v>25540000</v>
      </c>
      <c r="K2639" s="79">
        <f>+I2639+J2639</f>
        <v>29450000</v>
      </c>
    </row>
    <row r="2640" spans="8:15" x14ac:dyDescent="0.25">
      <c r="H2640" s="80">
        <v>721</v>
      </c>
      <c r="I2640" s="81">
        <f>+O2618+O2620+O2622+O2624+O2628+O2626</f>
        <v>1026000</v>
      </c>
      <c r="J2640" s="77">
        <f>+K2601</f>
        <v>92141134</v>
      </c>
      <c r="K2640" s="79">
        <f>+I2640+J2640</f>
        <v>93167134</v>
      </c>
    </row>
    <row r="2641" spans="8:15" x14ac:dyDescent="0.25">
      <c r="H2641" s="80">
        <v>722</v>
      </c>
      <c r="I2641" s="81"/>
      <c r="J2641" s="77">
        <f>+K2602</f>
        <v>2000000</v>
      </c>
      <c r="K2641" s="79">
        <f>+I2641+J2641</f>
        <v>2000000</v>
      </c>
    </row>
    <row r="2642" spans="8:15" ht="15.75" x14ac:dyDescent="0.25">
      <c r="H2642" s="80">
        <v>723</v>
      </c>
      <c r="I2642" s="81"/>
      <c r="J2642" s="77">
        <f>+K2603</f>
        <v>0</v>
      </c>
      <c r="K2642" s="79">
        <f>+I2642+J2642</f>
        <v>0</v>
      </c>
      <c r="M2642" s="109" t="s">
        <v>304</v>
      </c>
      <c r="N2642" s="84"/>
    </row>
    <row r="2643" spans="8:15" ht="16.5" thickBot="1" x14ac:dyDescent="0.3">
      <c r="H2643" s="85" t="s">
        <v>854</v>
      </c>
      <c r="I2643" s="86"/>
      <c r="J2643" s="77" t="e">
        <f>+K2604</f>
        <v>#REF!</v>
      </c>
      <c r="K2643" s="89" t="e">
        <f>+I2643+J2643</f>
        <v>#REF!</v>
      </c>
      <c r="M2643" s="45"/>
    </row>
    <row r="2644" spans="8:15" ht="16.5" thickBot="1" x14ac:dyDescent="0.3">
      <c r="H2644" s="90"/>
      <c r="I2644" s="94">
        <f>SUM(I2639:I2643)</f>
        <v>4936000</v>
      </c>
      <c r="J2644" s="94" t="e">
        <f>SUM(J2639:J2643)</f>
        <v>#REF!</v>
      </c>
      <c r="K2644" s="95" t="e">
        <f>SUM(K2639:K2643)</f>
        <v>#REF!</v>
      </c>
    </row>
    <row r="2645" spans="8:15" ht="16.5" x14ac:dyDescent="0.25">
      <c r="H2645" s="39" t="s">
        <v>46</v>
      </c>
      <c r="I2645" s="40"/>
    </row>
    <row r="2646" spans="8:15" x14ac:dyDescent="0.25">
      <c r="H2646" s="41" t="s">
        <v>47</v>
      </c>
    </row>
    <row r="2647" spans="8:15" x14ac:dyDescent="0.25">
      <c r="H2647" s="41" t="s">
        <v>48</v>
      </c>
    </row>
    <row r="2648" spans="8:15" x14ac:dyDescent="0.25">
      <c r="H2648" s="41" t="s">
        <v>49</v>
      </c>
    </row>
    <row r="2649" spans="8:15" ht="14.25" customHeight="1" x14ac:dyDescent="0.25">
      <c r="H2649" s="40"/>
      <c r="I2649" s="40"/>
    </row>
    <row r="2650" spans="8:15" ht="15.75" x14ac:dyDescent="0.25">
      <c r="H2650" s="188" t="s">
        <v>880</v>
      </c>
      <c r="N2650" s="45"/>
    </row>
    <row r="2651" spans="8:15" ht="15.75" x14ac:dyDescent="0.25">
      <c r="H2651" s="47" t="s">
        <v>704</v>
      </c>
      <c r="N2651" s="47"/>
    </row>
    <row r="2652" spans="8:15" ht="16.5" x14ac:dyDescent="0.25">
      <c r="H2652" s="326" t="s">
        <v>845</v>
      </c>
      <c r="I2652" s="326"/>
      <c r="J2652" s="326"/>
      <c r="K2652" s="326"/>
      <c r="L2652" s="326"/>
      <c r="M2652" s="326"/>
      <c r="N2652" s="326"/>
      <c r="O2652" s="326"/>
    </row>
    <row r="2653" spans="8:15" ht="15.75" thickBot="1" x14ac:dyDescent="0.3"/>
    <row r="2654" spans="8:15" x14ac:dyDescent="0.25">
      <c r="H2654" s="327" t="s">
        <v>56</v>
      </c>
      <c r="I2654" s="322" t="s">
        <v>57</v>
      </c>
      <c r="J2654" s="322" t="s">
        <v>58</v>
      </c>
      <c r="K2654" s="322" t="s">
        <v>7</v>
      </c>
      <c r="L2654" s="322" t="s">
        <v>59</v>
      </c>
      <c r="M2654" s="322" t="s">
        <v>60</v>
      </c>
      <c r="N2654" s="322" t="s">
        <v>61</v>
      </c>
      <c r="O2654" s="324"/>
    </row>
    <row r="2655" spans="8:15" ht="15.75" thickBot="1" x14ac:dyDescent="0.3">
      <c r="H2655" s="328"/>
      <c r="I2655" s="323"/>
      <c r="J2655" s="323"/>
      <c r="K2655" s="323"/>
      <c r="L2655" s="323"/>
      <c r="M2655" s="323"/>
      <c r="N2655" s="51" t="s">
        <v>62</v>
      </c>
      <c r="O2655" s="52" t="s">
        <v>63</v>
      </c>
    </row>
    <row r="2656" spans="8:15" ht="15" customHeight="1" x14ac:dyDescent="0.25">
      <c r="H2656" s="318">
        <v>282</v>
      </c>
      <c r="I2656" s="312">
        <v>42655</v>
      </c>
      <c r="J2656" s="314" t="s">
        <v>221</v>
      </c>
      <c r="K2656" s="316" t="s">
        <v>881</v>
      </c>
      <c r="L2656" s="318" t="s">
        <v>5</v>
      </c>
      <c r="M2656" s="320">
        <v>26000</v>
      </c>
      <c r="N2656" s="53">
        <v>719</v>
      </c>
      <c r="O2656" s="54">
        <v>20000</v>
      </c>
    </row>
    <row r="2657" spans="8:15" ht="15.75" customHeight="1" thickBot="1" x14ac:dyDescent="0.3">
      <c r="H2657" s="319"/>
      <c r="I2657" s="313"/>
      <c r="J2657" s="315"/>
      <c r="K2657" s="317"/>
      <c r="L2657" s="319"/>
      <c r="M2657" s="321"/>
      <c r="N2657" s="55">
        <v>721</v>
      </c>
      <c r="O2657" s="56">
        <f>+M2656-O2656</f>
        <v>6000</v>
      </c>
    </row>
    <row r="2658" spans="8:15" ht="15" customHeight="1" x14ac:dyDescent="0.25">
      <c r="H2658" s="318">
        <v>283</v>
      </c>
      <c r="I2658" s="312">
        <v>42655</v>
      </c>
      <c r="J2658" s="314" t="s">
        <v>221</v>
      </c>
      <c r="K2658" s="316" t="s">
        <v>882</v>
      </c>
      <c r="L2658" s="318" t="s">
        <v>5</v>
      </c>
      <c r="M2658" s="320">
        <v>130000</v>
      </c>
      <c r="N2658" s="53">
        <v>719</v>
      </c>
      <c r="O2658" s="54">
        <v>100000</v>
      </c>
    </row>
    <row r="2659" spans="8:15" ht="15.75" customHeight="1" thickBot="1" x14ac:dyDescent="0.3">
      <c r="H2659" s="319"/>
      <c r="I2659" s="313"/>
      <c r="J2659" s="315"/>
      <c r="K2659" s="317"/>
      <c r="L2659" s="319"/>
      <c r="M2659" s="321"/>
      <c r="N2659" s="55">
        <v>721</v>
      </c>
      <c r="O2659" s="56">
        <f>+M2658-O2658</f>
        <v>30000</v>
      </c>
    </row>
    <row r="2660" spans="8:15" ht="15" customHeight="1" x14ac:dyDescent="0.25">
      <c r="H2660" s="318">
        <v>284</v>
      </c>
      <c r="I2660" s="312">
        <v>42655</v>
      </c>
      <c r="J2660" s="314" t="s">
        <v>221</v>
      </c>
      <c r="K2660" s="316" t="s">
        <v>883</v>
      </c>
      <c r="L2660" s="318" t="s">
        <v>5</v>
      </c>
      <c r="M2660" s="320">
        <v>130000</v>
      </c>
      <c r="N2660" s="53">
        <v>719</v>
      </c>
      <c r="O2660" s="54">
        <v>100000</v>
      </c>
    </row>
    <row r="2661" spans="8:15" ht="15.75" customHeight="1" thickBot="1" x14ac:dyDescent="0.3">
      <c r="H2661" s="319"/>
      <c r="I2661" s="313"/>
      <c r="J2661" s="315"/>
      <c r="K2661" s="317"/>
      <c r="L2661" s="319"/>
      <c r="M2661" s="321"/>
      <c r="N2661" s="55">
        <v>721</v>
      </c>
      <c r="O2661" s="56">
        <f>+M2660-O2660</f>
        <v>30000</v>
      </c>
    </row>
    <row r="2662" spans="8:15" ht="15" customHeight="1" x14ac:dyDescent="0.25">
      <c r="H2662" s="318">
        <v>285</v>
      </c>
      <c r="I2662" s="312">
        <v>42655</v>
      </c>
      <c r="J2662" s="314" t="s">
        <v>221</v>
      </c>
      <c r="K2662" s="316" t="s">
        <v>884</v>
      </c>
      <c r="L2662" s="318" t="s">
        <v>5</v>
      </c>
      <c r="M2662" s="320">
        <v>30000</v>
      </c>
      <c r="N2662" s="53">
        <v>719</v>
      </c>
      <c r="O2662" s="54">
        <v>30000</v>
      </c>
    </row>
    <row r="2663" spans="8:15" ht="15.75" customHeight="1" thickBot="1" x14ac:dyDescent="0.3">
      <c r="H2663" s="319"/>
      <c r="I2663" s="313"/>
      <c r="J2663" s="315"/>
      <c r="K2663" s="317"/>
      <c r="L2663" s="319"/>
      <c r="M2663" s="321"/>
      <c r="N2663" s="55">
        <v>721</v>
      </c>
      <c r="O2663" s="56">
        <f>+M2662-O2662</f>
        <v>0</v>
      </c>
    </row>
    <row r="2664" spans="8:15" ht="13.5" customHeight="1" x14ac:dyDescent="0.25">
      <c r="H2664" s="318"/>
      <c r="I2664" s="312"/>
      <c r="J2664" s="314"/>
      <c r="K2664" s="316"/>
      <c r="L2664" s="318"/>
      <c r="M2664" s="320"/>
      <c r="N2664" s="53">
        <v>719</v>
      </c>
      <c r="O2664" s="54"/>
    </row>
    <row r="2665" spans="8:15" ht="13.5" customHeight="1" thickBot="1" x14ac:dyDescent="0.3">
      <c r="H2665" s="319"/>
      <c r="I2665" s="313"/>
      <c r="J2665" s="315"/>
      <c r="K2665" s="317"/>
      <c r="L2665" s="319"/>
      <c r="M2665" s="321"/>
      <c r="N2665" s="55">
        <v>723</v>
      </c>
      <c r="O2665" s="56">
        <f>+M2664-O2664</f>
        <v>0</v>
      </c>
    </row>
    <row r="2666" spans="8:15" ht="16.5" thickBot="1" x14ac:dyDescent="0.3">
      <c r="H2666" s="297" t="s">
        <v>80</v>
      </c>
      <c r="I2666" s="298"/>
      <c r="J2666" s="298"/>
      <c r="K2666" s="298"/>
      <c r="L2666" s="299"/>
      <c r="M2666" s="62">
        <f>SUM(M2656:M2665)</f>
        <v>316000</v>
      </c>
    </row>
    <row r="2667" spans="8:15" ht="16.5" thickBot="1" x14ac:dyDescent="0.3">
      <c r="H2667" s="300" t="s">
        <v>81</v>
      </c>
      <c r="I2667" s="301"/>
      <c r="J2667" s="301"/>
      <c r="K2667" s="301"/>
      <c r="L2667" s="302"/>
      <c r="M2667" s="63">
        <f>+M2631</f>
        <v>108892097</v>
      </c>
      <c r="N2667" s="64" t="s">
        <v>82</v>
      </c>
      <c r="O2667" s="65"/>
    </row>
    <row r="2668" spans="8:15" ht="16.5" thickBot="1" x14ac:dyDescent="0.3">
      <c r="H2668" s="303" t="s">
        <v>83</v>
      </c>
      <c r="I2668" s="304"/>
      <c r="J2668" s="304"/>
      <c r="K2668" s="304"/>
      <c r="L2668" s="305"/>
      <c r="M2668" s="66">
        <f>SUM(M2666:M2667)</f>
        <v>109208097</v>
      </c>
    </row>
    <row r="2669" spans="8:15" x14ac:dyDescent="0.25">
      <c r="H2669" s="67"/>
      <c r="I2669" s="67"/>
      <c r="J2669" s="67"/>
      <c r="K2669" s="67"/>
      <c r="L2669" s="67"/>
    </row>
    <row r="2670" spans="8:15" x14ac:dyDescent="0.25">
      <c r="H2670" s="41" t="s">
        <v>885</v>
      </c>
    </row>
    <row r="2671" spans="8:15" ht="12.75" customHeight="1" x14ac:dyDescent="0.25">
      <c r="M2671" s="68"/>
    </row>
    <row r="2672" spans="8:15" x14ac:dyDescent="0.25">
      <c r="H2672" s="40" t="s">
        <v>86</v>
      </c>
      <c r="K2672" s="69"/>
      <c r="M2672" s="68"/>
    </row>
    <row r="2673" spans="8:14" ht="13.5" customHeight="1" thickBot="1" x14ac:dyDescent="0.3"/>
    <row r="2674" spans="8:14" ht="15.75" thickBot="1" x14ac:dyDescent="0.3">
      <c r="H2674" s="306" t="s">
        <v>87</v>
      </c>
      <c r="I2674" s="307"/>
      <c r="J2674" s="307"/>
      <c r="K2674" s="308"/>
      <c r="M2674" s="40" t="s">
        <v>89</v>
      </c>
    </row>
    <row r="2675" spans="8:14" ht="30.75" thickBot="1" x14ac:dyDescent="0.3">
      <c r="H2675" s="70" t="s">
        <v>62</v>
      </c>
      <c r="I2675" s="71" t="s">
        <v>90</v>
      </c>
      <c r="J2675" s="204" t="s">
        <v>91</v>
      </c>
      <c r="K2675" s="73" t="s">
        <v>92</v>
      </c>
    </row>
    <row r="2676" spans="8:14" x14ac:dyDescent="0.25">
      <c r="H2676" s="75">
        <v>719</v>
      </c>
      <c r="I2676" s="76">
        <f>+O2656+O2658+O2660+O2662</f>
        <v>250000</v>
      </c>
      <c r="J2676" s="77">
        <f>+K2639</f>
        <v>29450000</v>
      </c>
      <c r="K2676" s="79">
        <f>+I2676+J2676</f>
        <v>29700000</v>
      </c>
    </row>
    <row r="2677" spans="8:14" x14ac:dyDescent="0.25">
      <c r="H2677" s="80">
        <v>721</v>
      </c>
      <c r="I2677" s="81">
        <f>+O2657+O2659+O2661+O2663+O2665</f>
        <v>66000</v>
      </c>
      <c r="J2677" s="77">
        <f>+K2640</f>
        <v>93167134</v>
      </c>
      <c r="K2677" s="79">
        <f>+I2677+J2677</f>
        <v>93233134</v>
      </c>
    </row>
    <row r="2678" spans="8:14" x14ac:dyDescent="0.25">
      <c r="H2678" s="80">
        <v>722</v>
      </c>
      <c r="I2678" s="81"/>
      <c r="J2678" s="77">
        <f>+K2641</f>
        <v>2000000</v>
      </c>
      <c r="K2678" s="79">
        <f>+I2678+J2678</f>
        <v>2000000</v>
      </c>
    </row>
    <row r="2679" spans="8:14" ht="15.75" x14ac:dyDescent="0.25">
      <c r="H2679" s="80">
        <v>723</v>
      </c>
      <c r="I2679" s="81"/>
      <c r="J2679" s="77">
        <f>+K2642</f>
        <v>0</v>
      </c>
      <c r="K2679" s="79">
        <f>+I2679+J2679</f>
        <v>0</v>
      </c>
      <c r="M2679" s="109" t="s">
        <v>304</v>
      </c>
      <c r="N2679" s="84"/>
    </row>
    <row r="2680" spans="8:14" ht="16.5" thickBot="1" x14ac:dyDescent="0.3">
      <c r="H2680" s="85" t="s">
        <v>854</v>
      </c>
      <c r="I2680" s="86"/>
      <c r="J2680" s="77" t="e">
        <f>+K2643</f>
        <v>#REF!</v>
      </c>
      <c r="K2680" s="89" t="e">
        <f>+I2680+J2680</f>
        <v>#REF!</v>
      </c>
      <c r="M2680" s="45"/>
    </row>
    <row r="2681" spans="8:14" ht="16.5" thickBot="1" x14ac:dyDescent="0.3">
      <c r="H2681" s="90"/>
      <c r="I2681" s="94">
        <f>SUM(I2676:I2680)</f>
        <v>316000</v>
      </c>
      <c r="J2681" s="94" t="e">
        <f>SUM(J2676:J2680)</f>
        <v>#REF!</v>
      </c>
      <c r="K2681" s="95" t="e">
        <f>SUM(K2676:K2680)</f>
        <v>#REF!</v>
      </c>
    </row>
    <row r="2682" spans="8:14" ht="16.5" x14ac:dyDescent="0.25">
      <c r="H2682" s="39" t="s">
        <v>46</v>
      </c>
      <c r="I2682" s="40"/>
    </row>
    <row r="2683" spans="8:14" x14ac:dyDescent="0.25">
      <c r="H2683" s="41" t="s">
        <v>47</v>
      </c>
    </row>
    <row r="2684" spans="8:14" x14ac:dyDescent="0.25">
      <c r="H2684" s="41" t="s">
        <v>48</v>
      </c>
    </row>
    <row r="2685" spans="8:14" x14ac:dyDescent="0.25">
      <c r="H2685" s="41" t="s">
        <v>49</v>
      </c>
    </row>
    <row r="2686" spans="8:14" ht="10.5" customHeight="1" x14ac:dyDescent="0.25">
      <c r="H2686" s="40"/>
      <c r="I2686" s="40"/>
    </row>
    <row r="2687" spans="8:14" ht="15.75" x14ac:dyDescent="0.25">
      <c r="H2687" s="188" t="s">
        <v>886</v>
      </c>
      <c r="N2687" s="45"/>
    </row>
    <row r="2688" spans="8:14" ht="15.75" x14ac:dyDescent="0.25">
      <c r="H2688" s="47" t="s">
        <v>704</v>
      </c>
      <c r="N2688" s="47"/>
    </row>
    <row r="2689" spans="8:15" ht="16.5" x14ac:dyDescent="0.25">
      <c r="H2689" s="326" t="s">
        <v>845</v>
      </c>
      <c r="I2689" s="326"/>
      <c r="J2689" s="326"/>
      <c r="K2689" s="326"/>
      <c r="L2689" s="326"/>
      <c r="M2689" s="326"/>
      <c r="N2689" s="326"/>
      <c r="O2689" s="326"/>
    </row>
    <row r="2690" spans="8:15" ht="15.75" thickBot="1" x14ac:dyDescent="0.3"/>
    <row r="2691" spans="8:15" x14ac:dyDescent="0.25">
      <c r="H2691" s="327" t="s">
        <v>56</v>
      </c>
      <c r="I2691" s="322" t="s">
        <v>57</v>
      </c>
      <c r="J2691" s="322" t="s">
        <v>58</v>
      </c>
      <c r="K2691" s="322" t="s">
        <v>7</v>
      </c>
      <c r="L2691" s="322" t="s">
        <v>59</v>
      </c>
      <c r="M2691" s="322" t="s">
        <v>60</v>
      </c>
      <c r="N2691" s="322" t="s">
        <v>61</v>
      </c>
      <c r="O2691" s="324"/>
    </row>
    <row r="2692" spans="8:15" ht="15.75" thickBot="1" x14ac:dyDescent="0.3">
      <c r="H2692" s="328"/>
      <c r="I2692" s="323"/>
      <c r="J2692" s="323"/>
      <c r="K2692" s="323"/>
      <c r="L2692" s="323"/>
      <c r="M2692" s="323"/>
      <c r="N2692" s="51" t="s">
        <v>62</v>
      </c>
      <c r="O2692" s="52" t="s">
        <v>63</v>
      </c>
    </row>
    <row r="2693" spans="8:15" x14ac:dyDescent="0.25">
      <c r="H2693" s="318">
        <v>286</v>
      </c>
      <c r="I2693" s="312">
        <v>42655</v>
      </c>
      <c r="J2693" s="314" t="s">
        <v>548</v>
      </c>
      <c r="K2693" s="316" t="s">
        <v>887</v>
      </c>
      <c r="L2693" s="318" t="s">
        <v>5</v>
      </c>
      <c r="M2693" s="320">
        <v>208000</v>
      </c>
      <c r="N2693" s="53">
        <v>719</v>
      </c>
      <c r="O2693" s="54">
        <v>160000</v>
      </c>
    </row>
    <row r="2694" spans="8:15" ht="15.75" thickBot="1" x14ac:dyDescent="0.3">
      <c r="H2694" s="319"/>
      <c r="I2694" s="313"/>
      <c r="J2694" s="315"/>
      <c r="K2694" s="317"/>
      <c r="L2694" s="319"/>
      <c r="M2694" s="321"/>
      <c r="N2694" s="55">
        <v>721</v>
      </c>
      <c r="O2694" s="56">
        <f>+M2693-O2693</f>
        <v>48000</v>
      </c>
    </row>
    <row r="2695" spans="8:15" x14ac:dyDescent="0.25">
      <c r="H2695" s="318">
        <v>287</v>
      </c>
      <c r="I2695" s="312">
        <v>42655</v>
      </c>
      <c r="J2695" s="314" t="s">
        <v>548</v>
      </c>
      <c r="K2695" s="316" t="s">
        <v>888</v>
      </c>
      <c r="L2695" s="318" t="s">
        <v>5</v>
      </c>
      <c r="M2695" s="320">
        <v>390000</v>
      </c>
      <c r="N2695" s="53">
        <v>719</v>
      </c>
      <c r="O2695" s="54">
        <v>300000</v>
      </c>
    </row>
    <row r="2696" spans="8:15" ht="15.75" thickBot="1" x14ac:dyDescent="0.3">
      <c r="H2696" s="319"/>
      <c r="I2696" s="313"/>
      <c r="J2696" s="315"/>
      <c r="K2696" s="317"/>
      <c r="L2696" s="319"/>
      <c r="M2696" s="321"/>
      <c r="N2696" s="55">
        <v>721</v>
      </c>
      <c r="O2696" s="56">
        <f>+M2695-O2695</f>
        <v>90000</v>
      </c>
    </row>
    <row r="2697" spans="8:15" x14ac:dyDescent="0.25">
      <c r="H2697" s="318">
        <v>288</v>
      </c>
      <c r="I2697" s="312">
        <v>42655</v>
      </c>
      <c r="J2697" s="314" t="s">
        <v>548</v>
      </c>
      <c r="K2697" s="316" t="s">
        <v>889</v>
      </c>
      <c r="L2697" s="318" t="s">
        <v>5</v>
      </c>
      <c r="M2697" s="320">
        <v>286000</v>
      </c>
      <c r="N2697" s="53">
        <v>719</v>
      </c>
      <c r="O2697" s="54">
        <v>220000</v>
      </c>
    </row>
    <row r="2698" spans="8:15" ht="15.75" thickBot="1" x14ac:dyDescent="0.3">
      <c r="H2698" s="319"/>
      <c r="I2698" s="313"/>
      <c r="J2698" s="315"/>
      <c r="K2698" s="317"/>
      <c r="L2698" s="319"/>
      <c r="M2698" s="321"/>
      <c r="N2698" s="55">
        <v>721</v>
      </c>
      <c r="O2698" s="56">
        <f>+M2697-O2697</f>
        <v>66000</v>
      </c>
    </row>
    <row r="2699" spans="8:15" x14ac:dyDescent="0.25">
      <c r="H2699" s="318">
        <v>289</v>
      </c>
      <c r="I2699" s="312">
        <v>42655</v>
      </c>
      <c r="J2699" s="314" t="s">
        <v>548</v>
      </c>
      <c r="K2699" s="316" t="s">
        <v>890</v>
      </c>
      <c r="L2699" s="318" t="s">
        <v>5</v>
      </c>
      <c r="M2699" s="320">
        <v>100000</v>
      </c>
      <c r="N2699" s="53">
        <v>719</v>
      </c>
      <c r="O2699" s="54">
        <v>100000</v>
      </c>
    </row>
    <row r="2700" spans="8:15" ht="15.75" thickBot="1" x14ac:dyDescent="0.3">
      <c r="H2700" s="319"/>
      <c r="I2700" s="313"/>
      <c r="J2700" s="315"/>
      <c r="K2700" s="317"/>
      <c r="L2700" s="319"/>
      <c r="M2700" s="321"/>
      <c r="N2700" s="55">
        <v>721</v>
      </c>
      <c r="O2700" s="56">
        <f>+M2699-O2699</f>
        <v>0</v>
      </c>
    </row>
    <row r="2701" spans="8:15" x14ac:dyDescent="0.25">
      <c r="H2701" s="318"/>
      <c r="I2701" s="312"/>
      <c r="J2701" s="314"/>
      <c r="K2701" s="316"/>
      <c r="L2701" s="318"/>
      <c r="M2701" s="320"/>
      <c r="N2701" s="53">
        <v>719</v>
      </c>
      <c r="O2701" s="54"/>
    </row>
    <row r="2702" spans="8:15" ht="15.75" thickBot="1" x14ac:dyDescent="0.3">
      <c r="H2702" s="319"/>
      <c r="I2702" s="313"/>
      <c r="J2702" s="315"/>
      <c r="K2702" s="317"/>
      <c r="L2702" s="319"/>
      <c r="M2702" s="321"/>
      <c r="N2702" s="55">
        <v>721</v>
      </c>
      <c r="O2702" s="56">
        <f>+M2701-O2701</f>
        <v>0</v>
      </c>
    </row>
    <row r="2703" spans="8:15" ht="16.5" thickBot="1" x14ac:dyDescent="0.3">
      <c r="H2703" s="297" t="s">
        <v>80</v>
      </c>
      <c r="I2703" s="298"/>
      <c r="J2703" s="298"/>
      <c r="K2703" s="298"/>
      <c r="L2703" s="299"/>
      <c r="M2703" s="62">
        <f>SUM(M2693:M2702)</f>
        <v>984000</v>
      </c>
    </row>
    <row r="2704" spans="8:15" ht="16.5" thickBot="1" x14ac:dyDescent="0.3">
      <c r="H2704" s="300" t="s">
        <v>81</v>
      </c>
      <c r="I2704" s="301"/>
      <c r="J2704" s="301"/>
      <c r="K2704" s="301"/>
      <c r="L2704" s="302"/>
      <c r="M2704" s="63">
        <f>+M2668</f>
        <v>109208097</v>
      </c>
      <c r="N2704" s="64" t="s">
        <v>82</v>
      </c>
      <c r="O2704" s="65">
        <f>183+395+650+498</f>
        <v>1726</v>
      </c>
    </row>
    <row r="2705" spans="8:14" ht="16.5" thickBot="1" x14ac:dyDescent="0.3">
      <c r="H2705" s="303" t="s">
        <v>83</v>
      </c>
      <c r="I2705" s="304"/>
      <c r="J2705" s="304"/>
      <c r="K2705" s="304"/>
      <c r="L2705" s="305"/>
      <c r="M2705" s="66">
        <f>SUM(M2703:M2704)</f>
        <v>110192097</v>
      </c>
    </row>
    <row r="2706" spans="8:14" x14ac:dyDescent="0.25">
      <c r="H2706" s="67"/>
      <c r="I2706" s="67"/>
      <c r="J2706" s="67"/>
      <c r="K2706" s="67"/>
      <c r="L2706" s="67"/>
    </row>
    <row r="2707" spans="8:14" x14ac:dyDescent="0.25">
      <c r="H2707" s="41" t="s">
        <v>891</v>
      </c>
    </row>
    <row r="2708" spans="8:14" ht="12.75" customHeight="1" x14ac:dyDescent="0.25">
      <c r="M2708" s="68"/>
    </row>
    <row r="2709" spans="8:14" x14ac:dyDescent="0.25">
      <c r="H2709" s="40" t="s">
        <v>86</v>
      </c>
      <c r="K2709" s="69"/>
      <c r="M2709" s="68"/>
    </row>
    <row r="2710" spans="8:14" ht="14.25" customHeight="1" thickBot="1" x14ac:dyDescent="0.3"/>
    <row r="2711" spans="8:14" ht="15.75" thickBot="1" x14ac:dyDescent="0.3">
      <c r="H2711" s="306" t="s">
        <v>87</v>
      </c>
      <c r="I2711" s="307"/>
      <c r="J2711" s="307"/>
      <c r="K2711" s="308"/>
      <c r="M2711" s="40" t="s">
        <v>89</v>
      </c>
    </row>
    <row r="2712" spans="8:14" ht="30.75" thickBot="1" x14ac:dyDescent="0.3">
      <c r="H2712" s="70" t="s">
        <v>62</v>
      </c>
      <c r="I2712" s="71" t="s">
        <v>90</v>
      </c>
      <c r="J2712" s="204" t="s">
        <v>91</v>
      </c>
      <c r="K2712" s="73" t="s">
        <v>92</v>
      </c>
    </row>
    <row r="2713" spans="8:14" x14ac:dyDescent="0.25">
      <c r="H2713" s="75">
        <v>719</v>
      </c>
      <c r="I2713" s="76">
        <f>+O2693+O2695+O2697+O2699</f>
        <v>780000</v>
      </c>
      <c r="J2713" s="77">
        <f>+K2676</f>
        <v>29700000</v>
      </c>
      <c r="K2713" s="79">
        <f>+I2713+J2713</f>
        <v>30480000</v>
      </c>
    </row>
    <row r="2714" spans="8:14" x14ac:dyDescent="0.25">
      <c r="H2714" s="80">
        <v>721</v>
      </c>
      <c r="I2714" s="81">
        <f>+O2694+O2696+O2698+O2700+O2702</f>
        <v>204000</v>
      </c>
      <c r="J2714" s="77">
        <f>+K2677</f>
        <v>93233134</v>
      </c>
      <c r="K2714" s="79">
        <f>+I2714+J2714</f>
        <v>93437134</v>
      </c>
    </row>
    <row r="2715" spans="8:14" x14ac:dyDescent="0.25">
      <c r="H2715" s="80">
        <v>722</v>
      </c>
      <c r="I2715" s="81"/>
      <c r="J2715" s="77">
        <f>+K2678</f>
        <v>2000000</v>
      </c>
      <c r="K2715" s="79">
        <f>+I2715+J2715</f>
        <v>2000000</v>
      </c>
    </row>
    <row r="2716" spans="8:14" ht="15.75" x14ac:dyDescent="0.25">
      <c r="H2716" s="80">
        <v>723</v>
      </c>
      <c r="I2716" s="81"/>
      <c r="J2716" s="77">
        <f>+K2679</f>
        <v>0</v>
      </c>
      <c r="K2716" s="79">
        <f>+I2716+J2716</f>
        <v>0</v>
      </c>
      <c r="M2716" s="109" t="s">
        <v>304</v>
      </c>
      <c r="N2716" s="84"/>
    </row>
    <row r="2717" spans="8:14" ht="16.5" thickBot="1" x14ac:dyDescent="0.3">
      <c r="H2717" s="85" t="s">
        <v>854</v>
      </c>
      <c r="I2717" s="86"/>
      <c r="J2717" s="77" t="e">
        <f>+K2680</f>
        <v>#REF!</v>
      </c>
      <c r="K2717" s="89" t="e">
        <f>+I2717+J2717</f>
        <v>#REF!</v>
      </c>
      <c r="M2717" s="45"/>
    </row>
    <row r="2718" spans="8:14" ht="16.5" thickBot="1" x14ac:dyDescent="0.3">
      <c r="H2718" s="90"/>
      <c r="I2718" s="94">
        <f>SUM(I2713:I2717)</f>
        <v>984000</v>
      </c>
      <c r="J2718" s="94" t="e">
        <f>SUM(J2713:J2717)</f>
        <v>#REF!</v>
      </c>
      <c r="K2718" s="95" t="e">
        <f>SUM(K2713:K2717)</f>
        <v>#REF!</v>
      </c>
    </row>
    <row r="2719" spans="8:14" ht="16.5" x14ac:dyDescent="0.25">
      <c r="H2719" s="39" t="s">
        <v>46</v>
      </c>
      <c r="I2719" s="40"/>
    </row>
    <row r="2720" spans="8:14" x14ac:dyDescent="0.25">
      <c r="H2720" s="41" t="s">
        <v>47</v>
      </c>
    </row>
    <row r="2721" spans="8:15" x14ac:dyDescent="0.25">
      <c r="H2721" s="41" t="s">
        <v>48</v>
      </c>
    </row>
    <row r="2722" spans="8:15" x14ac:dyDescent="0.25">
      <c r="H2722" s="41" t="s">
        <v>49</v>
      </c>
    </row>
    <row r="2723" spans="8:15" ht="11.25" customHeight="1" x14ac:dyDescent="0.25">
      <c r="H2723" s="40"/>
      <c r="I2723" s="40"/>
    </row>
    <row r="2724" spans="8:15" ht="15.75" x14ac:dyDescent="0.25">
      <c r="H2724" s="188" t="s">
        <v>892</v>
      </c>
      <c r="N2724" s="45"/>
    </row>
    <row r="2725" spans="8:15" ht="15.75" x14ac:dyDescent="0.25">
      <c r="H2725" s="47" t="s">
        <v>704</v>
      </c>
      <c r="N2725" s="47"/>
    </row>
    <row r="2726" spans="8:15" ht="16.5" x14ac:dyDescent="0.25">
      <c r="H2726" s="326" t="s">
        <v>845</v>
      </c>
      <c r="I2726" s="326"/>
      <c r="J2726" s="326"/>
      <c r="K2726" s="326"/>
      <c r="L2726" s="326"/>
      <c r="M2726" s="326"/>
      <c r="N2726" s="326"/>
      <c r="O2726" s="326"/>
    </row>
    <row r="2727" spans="8:15" ht="13.5" customHeight="1" thickBot="1" x14ac:dyDescent="0.3"/>
    <row r="2728" spans="8:15" x14ac:dyDescent="0.25">
      <c r="H2728" s="327" t="s">
        <v>56</v>
      </c>
      <c r="I2728" s="322" t="s">
        <v>57</v>
      </c>
      <c r="J2728" s="322" t="s">
        <v>58</v>
      </c>
      <c r="K2728" s="322" t="s">
        <v>7</v>
      </c>
      <c r="L2728" s="322" t="s">
        <v>59</v>
      </c>
      <c r="M2728" s="322" t="s">
        <v>60</v>
      </c>
      <c r="N2728" s="322" t="s">
        <v>61</v>
      </c>
      <c r="O2728" s="324"/>
    </row>
    <row r="2729" spans="8:15" ht="15.75" thickBot="1" x14ac:dyDescent="0.3">
      <c r="H2729" s="328"/>
      <c r="I2729" s="323"/>
      <c r="J2729" s="323"/>
      <c r="K2729" s="323"/>
      <c r="L2729" s="323"/>
      <c r="M2729" s="323"/>
      <c r="N2729" s="51" t="s">
        <v>62</v>
      </c>
      <c r="O2729" s="52" t="s">
        <v>63</v>
      </c>
    </row>
    <row r="2730" spans="8:15" x14ac:dyDescent="0.25">
      <c r="H2730" s="318">
        <v>290</v>
      </c>
      <c r="I2730" s="312">
        <v>42655</v>
      </c>
      <c r="J2730" s="314" t="s">
        <v>893</v>
      </c>
      <c r="K2730" s="316" t="s">
        <v>894</v>
      </c>
      <c r="L2730" s="318" t="s">
        <v>5</v>
      </c>
      <c r="M2730" s="320">
        <v>52000</v>
      </c>
      <c r="N2730" s="53">
        <v>719</v>
      </c>
      <c r="O2730" s="54">
        <v>40000</v>
      </c>
    </row>
    <row r="2731" spans="8:15" ht="13.5" customHeight="1" thickBot="1" x14ac:dyDescent="0.3">
      <c r="H2731" s="319"/>
      <c r="I2731" s="313"/>
      <c r="J2731" s="315"/>
      <c r="K2731" s="317"/>
      <c r="L2731" s="319"/>
      <c r="M2731" s="321"/>
      <c r="N2731" s="55">
        <v>721</v>
      </c>
      <c r="O2731" s="56">
        <f>+M2730-O2730</f>
        <v>12000</v>
      </c>
    </row>
    <row r="2732" spans="8:15" x14ac:dyDescent="0.25">
      <c r="H2732" s="318">
        <v>291</v>
      </c>
      <c r="I2732" s="312">
        <v>42655</v>
      </c>
      <c r="J2732" s="314" t="s">
        <v>893</v>
      </c>
      <c r="K2732" s="316" t="s">
        <v>895</v>
      </c>
      <c r="L2732" s="318" t="s">
        <v>5</v>
      </c>
      <c r="M2732" s="320">
        <v>78000</v>
      </c>
      <c r="N2732" s="53">
        <v>719</v>
      </c>
      <c r="O2732" s="54">
        <v>60000</v>
      </c>
    </row>
    <row r="2733" spans="8:15" ht="15.75" thickBot="1" x14ac:dyDescent="0.3">
      <c r="H2733" s="319"/>
      <c r="I2733" s="313"/>
      <c r="J2733" s="315"/>
      <c r="K2733" s="317"/>
      <c r="L2733" s="319"/>
      <c r="M2733" s="321"/>
      <c r="N2733" s="55">
        <v>721</v>
      </c>
      <c r="O2733" s="56">
        <f>+M2732-O2732</f>
        <v>18000</v>
      </c>
    </row>
    <row r="2734" spans="8:15" ht="14.25" customHeight="1" x14ac:dyDescent="0.25">
      <c r="H2734" s="318">
        <v>292</v>
      </c>
      <c r="I2734" s="312">
        <v>42655</v>
      </c>
      <c r="J2734" s="314" t="s">
        <v>893</v>
      </c>
      <c r="K2734" s="316" t="s">
        <v>896</v>
      </c>
      <c r="L2734" s="318" t="s">
        <v>5</v>
      </c>
      <c r="M2734" s="320">
        <v>46000</v>
      </c>
      <c r="N2734" s="53">
        <v>719</v>
      </c>
      <c r="O2734" s="54">
        <v>40000</v>
      </c>
    </row>
    <row r="2735" spans="8:15" ht="14.25" customHeight="1" thickBot="1" x14ac:dyDescent="0.3">
      <c r="H2735" s="319"/>
      <c r="I2735" s="313"/>
      <c r="J2735" s="315"/>
      <c r="K2735" s="317"/>
      <c r="L2735" s="319"/>
      <c r="M2735" s="321"/>
      <c r="N2735" s="55">
        <v>721</v>
      </c>
      <c r="O2735" s="56">
        <f>+M2734-O2734</f>
        <v>6000</v>
      </c>
    </row>
    <row r="2736" spans="8:15" x14ac:dyDescent="0.25">
      <c r="H2736" s="318">
        <v>293</v>
      </c>
      <c r="I2736" s="312">
        <v>42655</v>
      </c>
      <c r="J2736" s="314" t="s">
        <v>64</v>
      </c>
      <c r="K2736" s="316" t="s">
        <v>897</v>
      </c>
      <c r="L2736" s="318" t="s">
        <v>5</v>
      </c>
      <c r="M2736" s="320">
        <v>1326000</v>
      </c>
      <c r="N2736" s="53">
        <v>719</v>
      </c>
      <c r="O2736" s="54">
        <v>1020000</v>
      </c>
    </row>
    <row r="2737" spans="8:15" ht="15.75" thickBot="1" x14ac:dyDescent="0.3">
      <c r="H2737" s="319"/>
      <c r="I2737" s="313"/>
      <c r="J2737" s="315"/>
      <c r="K2737" s="317"/>
      <c r="L2737" s="319"/>
      <c r="M2737" s="321"/>
      <c r="N2737" s="55">
        <v>721</v>
      </c>
      <c r="O2737" s="56">
        <f>+M2736-O2736</f>
        <v>306000</v>
      </c>
    </row>
    <row r="2738" spans="8:15" ht="13.5" customHeight="1" x14ac:dyDescent="0.25">
      <c r="H2738" s="318"/>
      <c r="I2738" s="312"/>
      <c r="J2738" s="314"/>
      <c r="K2738" s="316"/>
      <c r="L2738" s="318"/>
      <c r="M2738" s="320"/>
      <c r="N2738" s="53">
        <v>719</v>
      </c>
      <c r="O2738" s="54"/>
    </row>
    <row r="2739" spans="8:15" ht="13.5" customHeight="1" thickBot="1" x14ac:dyDescent="0.3">
      <c r="H2739" s="319"/>
      <c r="I2739" s="313"/>
      <c r="J2739" s="315"/>
      <c r="K2739" s="317"/>
      <c r="L2739" s="319"/>
      <c r="M2739" s="321"/>
      <c r="N2739" s="55">
        <v>721</v>
      </c>
      <c r="O2739" s="56">
        <f>+M2738-O2738</f>
        <v>0</v>
      </c>
    </row>
    <row r="2740" spans="8:15" ht="16.5" thickBot="1" x14ac:dyDescent="0.3">
      <c r="H2740" s="297" t="s">
        <v>80</v>
      </c>
      <c r="I2740" s="298"/>
      <c r="J2740" s="298"/>
      <c r="K2740" s="298"/>
      <c r="L2740" s="299"/>
      <c r="M2740" s="62">
        <f>SUM(M2730:M2739)</f>
        <v>1502000</v>
      </c>
    </row>
    <row r="2741" spans="8:15" ht="16.5" thickBot="1" x14ac:dyDescent="0.3">
      <c r="H2741" s="300" t="s">
        <v>81</v>
      </c>
      <c r="I2741" s="301"/>
      <c r="J2741" s="301"/>
      <c r="K2741" s="301"/>
      <c r="L2741" s="302"/>
      <c r="M2741" s="63">
        <f>+M2705</f>
        <v>110192097</v>
      </c>
      <c r="N2741" s="64" t="s">
        <v>82</v>
      </c>
      <c r="O2741" s="65">
        <v>1556</v>
      </c>
    </row>
    <row r="2742" spans="8:15" ht="16.5" thickBot="1" x14ac:dyDescent="0.3">
      <c r="H2742" s="303" t="s">
        <v>83</v>
      </c>
      <c r="I2742" s="304"/>
      <c r="J2742" s="304"/>
      <c r="K2742" s="304"/>
      <c r="L2742" s="305"/>
      <c r="M2742" s="66">
        <f>SUM(M2740:M2741)</f>
        <v>111694097</v>
      </c>
    </row>
    <row r="2743" spans="8:15" ht="12.75" customHeight="1" x14ac:dyDescent="0.25">
      <c r="H2743" s="67"/>
      <c r="I2743" s="67"/>
      <c r="J2743" s="67"/>
      <c r="K2743" s="67"/>
      <c r="L2743" s="67"/>
    </row>
    <row r="2744" spans="8:15" x14ac:dyDescent="0.25">
      <c r="H2744" s="41" t="s">
        <v>898</v>
      </c>
    </row>
    <row r="2745" spans="8:15" ht="14.25" customHeight="1" x14ac:dyDescent="0.25">
      <c r="M2745" s="68"/>
    </row>
    <row r="2746" spans="8:15" x14ac:dyDescent="0.25">
      <c r="H2746" s="40" t="s">
        <v>86</v>
      </c>
      <c r="K2746" s="69"/>
      <c r="M2746" s="68"/>
    </row>
    <row r="2747" spans="8:15" ht="13.5" customHeight="1" thickBot="1" x14ac:dyDescent="0.3"/>
    <row r="2748" spans="8:15" ht="15.75" thickBot="1" x14ac:dyDescent="0.3">
      <c r="H2748" s="306" t="s">
        <v>87</v>
      </c>
      <c r="I2748" s="307"/>
      <c r="J2748" s="307"/>
      <c r="K2748" s="308"/>
      <c r="M2748" s="40" t="s">
        <v>89</v>
      </c>
    </row>
    <row r="2749" spans="8:15" ht="30.75" thickBot="1" x14ac:dyDescent="0.3">
      <c r="H2749" s="70" t="s">
        <v>62</v>
      </c>
      <c r="I2749" s="71" t="s">
        <v>90</v>
      </c>
      <c r="J2749" s="204" t="s">
        <v>91</v>
      </c>
      <c r="K2749" s="73" t="s">
        <v>92</v>
      </c>
    </row>
    <row r="2750" spans="8:15" x14ac:dyDescent="0.25">
      <c r="H2750" s="75">
        <v>719</v>
      </c>
      <c r="I2750" s="76">
        <f>+O2730+O2732+O2734+O2736</f>
        <v>1160000</v>
      </c>
      <c r="J2750" s="77">
        <f>+K2713</f>
        <v>30480000</v>
      </c>
      <c r="K2750" s="79">
        <f>+I2750+J2750</f>
        <v>31640000</v>
      </c>
    </row>
    <row r="2751" spans="8:15" x14ac:dyDescent="0.25">
      <c r="H2751" s="80">
        <v>721</v>
      </c>
      <c r="I2751" s="81">
        <f>+O2731+O2733+O2735+O2737+O2739</f>
        <v>342000</v>
      </c>
      <c r="J2751" s="77">
        <f>+K2714</f>
        <v>93437134</v>
      </c>
      <c r="K2751" s="79">
        <f>+I2751+J2751</f>
        <v>93779134</v>
      </c>
    </row>
    <row r="2752" spans="8:15" x14ac:dyDescent="0.25">
      <c r="H2752" s="80">
        <v>722</v>
      </c>
      <c r="I2752" s="81"/>
      <c r="J2752" s="77">
        <f>+K2715</f>
        <v>2000000</v>
      </c>
      <c r="K2752" s="79">
        <f>+I2752+J2752</f>
        <v>2000000</v>
      </c>
    </row>
    <row r="2753" spans="8:15" ht="15.75" x14ac:dyDescent="0.25">
      <c r="H2753" s="80">
        <v>723</v>
      </c>
      <c r="I2753" s="81"/>
      <c r="J2753" s="77">
        <f>+K2716</f>
        <v>0</v>
      </c>
      <c r="K2753" s="79">
        <f>+I2753+J2753</f>
        <v>0</v>
      </c>
      <c r="M2753" s="109" t="s">
        <v>304</v>
      </c>
      <c r="N2753" s="84"/>
    </row>
    <row r="2754" spans="8:15" ht="16.5" thickBot="1" x14ac:dyDescent="0.3">
      <c r="H2754" s="85" t="s">
        <v>854</v>
      </c>
      <c r="I2754" s="86"/>
      <c r="J2754" s="77" t="e">
        <f>+K2717</f>
        <v>#REF!</v>
      </c>
      <c r="K2754" s="89" t="e">
        <f>+I2754+J2754</f>
        <v>#REF!</v>
      </c>
      <c r="M2754" s="45"/>
    </row>
    <row r="2755" spans="8:15" ht="16.5" thickBot="1" x14ac:dyDescent="0.3">
      <c r="H2755" s="90"/>
      <c r="I2755" s="94">
        <f>SUM(I2750:I2754)</f>
        <v>1502000</v>
      </c>
      <c r="J2755" s="94" t="e">
        <f>SUM(J2750:J2754)</f>
        <v>#REF!</v>
      </c>
      <c r="K2755" s="95" t="e">
        <f>SUM(K2750:K2754)</f>
        <v>#REF!</v>
      </c>
    </row>
    <row r="2756" spans="8:15" ht="16.5" x14ac:dyDescent="0.25">
      <c r="H2756" s="39" t="s">
        <v>46</v>
      </c>
      <c r="I2756" s="40"/>
    </row>
    <row r="2757" spans="8:15" x14ac:dyDescent="0.25">
      <c r="H2757" s="41" t="s">
        <v>47</v>
      </c>
    </row>
    <row r="2758" spans="8:15" x14ac:dyDescent="0.25">
      <c r="H2758" s="41" t="s">
        <v>48</v>
      </c>
    </row>
    <row r="2759" spans="8:15" x14ac:dyDescent="0.25">
      <c r="H2759" s="41" t="s">
        <v>49</v>
      </c>
    </row>
    <row r="2760" spans="8:15" ht="11.25" customHeight="1" x14ac:dyDescent="0.25">
      <c r="H2760" s="40"/>
      <c r="I2760" s="40"/>
    </row>
    <row r="2761" spans="8:15" ht="15.75" x14ac:dyDescent="0.25">
      <c r="H2761" s="188" t="s">
        <v>899</v>
      </c>
      <c r="N2761" s="45"/>
    </row>
    <row r="2762" spans="8:15" ht="15.75" x14ac:dyDescent="0.25">
      <c r="H2762" s="47" t="s">
        <v>704</v>
      </c>
      <c r="N2762" s="47"/>
    </row>
    <row r="2763" spans="8:15" ht="16.5" x14ac:dyDescent="0.25">
      <c r="H2763" s="326" t="s">
        <v>845</v>
      </c>
      <c r="I2763" s="326"/>
      <c r="J2763" s="326"/>
      <c r="K2763" s="326"/>
      <c r="L2763" s="326"/>
      <c r="M2763" s="326"/>
      <c r="N2763" s="326"/>
      <c r="O2763" s="326"/>
    </row>
    <row r="2764" spans="8:15" ht="15.75" thickBot="1" x14ac:dyDescent="0.3"/>
    <row r="2765" spans="8:15" x14ac:dyDescent="0.25">
      <c r="H2765" s="327" t="s">
        <v>56</v>
      </c>
      <c r="I2765" s="322" t="s">
        <v>57</v>
      </c>
      <c r="J2765" s="322" t="s">
        <v>58</v>
      </c>
      <c r="K2765" s="322" t="s">
        <v>7</v>
      </c>
      <c r="L2765" s="322" t="s">
        <v>59</v>
      </c>
      <c r="M2765" s="322" t="s">
        <v>60</v>
      </c>
      <c r="N2765" s="322" t="s">
        <v>61</v>
      </c>
      <c r="O2765" s="324"/>
    </row>
    <row r="2766" spans="8:15" ht="15.75" thickBot="1" x14ac:dyDescent="0.3">
      <c r="H2766" s="328"/>
      <c r="I2766" s="323"/>
      <c r="J2766" s="323"/>
      <c r="K2766" s="323"/>
      <c r="L2766" s="323"/>
      <c r="M2766" s="323"/>
      <c r="N2766" s="51" t="s">
        <v>62</v>
      </c>
      <c r="O2766" s="52" t="s">
        <v>63</v>
      </c>
    </row>
    <row r="2767" spans="8:15" x14ac:dyDescent="0.25">
      <c r="H2767" s="318">
        <v>294</v>
      </c>
      <c r="I2767" s="312">
        <v>42657</v>
      </c>
      <c r="J2767" s="314" t="s">
        <v>798</v>
      </c>
      <c r="K2767" s="316" t="s">
        <v>900</v>
      </c>
      <c r="L2767" s="318" t="s">
        <v>66</v>
      </c>
      <c r="M2767" s="320">
        <v>110000</v>
      </c>
      <c r="N2767" s="53">
        <v>719</v>
      </c>
      <c r="O2767" s="54">
        <v>110000</v>
      </c>
    </row>
    <row r="2768" spans="8:15" ht="15.75" thickBot="1" x14ac:dyDescent="0.3">
      <c r="H2768" s="319"/>
      <c r="I2768" s="313"/>
      <c r="J2768" s="315"/>
      <c r="K2768" s="317"/>
      <c r="L2768" s="319"/>
      <c r="M2768" s="321"/>
      <c r="N2768" s="55">
        <v>721</v>
      </c>
      <c r="O2768" s="56">
        <f>+M2767-O2767</f>
        <v>0</v>
      </c>
    </row>
    <row r="2769" spans="8:15" ht="15" customHeight="1" x14ac:dyDescent="0.25">
      <c r="H2769" s="318">
        <v>295</v>
      </c>
      <c r="I2769" s="312">
        <v>42657</v>
      </c>
      <c r="J2769" s="314" t="s">
        <v>70</v>
      </c>
      <c r="K2769" s="316" t="s">
        <v>901</v>
      </c>
      <c r="L2769" s="318" t="s">
        <v>66</v>
      </c>
      <c r="M2769" s="320">
        <v>70000</v>
      </c>
      <c r="N2769" s="53">
        <v>719</v>
      </c>
      <c r="O2769" s="54">
        <v>70000</v>
      </c>
    </row>
    <row r="2770" spans="8:15" ht="14.25" customHeight="1" thickBot="1" x14ac:dyDescent="0.3">
      <c r="H2770" s="319"/>
      <c r="I2770" s="313"/>
      <c r="J2770" s="315"/>
      <c r="K2770" s="317"/>
      <c r="L2770" s="319"/>
      <c r="M2770" s="321"/>
      <c r="N2770" s="55">
        <v>721</v>
      </c>
      <c r="O2770" s="56">
        <f>+M2769-O2769</f>
        <v>0</v>
      </c>
    </row>
    <row r="2771" spans="8:15" ht="14.25" customHeight="1" x14ac:dyDescent="0.25">
      <c r="H2771" s="318">
        <v>296</v>
      </c>
      <c r="I2771" s="312">
        <v>42657</v>
      </c>
      <c r="J2771" s="314" t="s">
        <v>251</v>
      </c>
      <c r="K2771" s="316" t="s">
        <v>902</v>
      </c>
      <c r="L2771" s="318" t="s">
        <v>66</v>
      </c>
      <c r="M2771" s="320">
        <v>200000</v>
      </c>
      <c r="N2771" s="53">
        <v>719</v>
      </c>
      <c r="O2771" s="54">
        <v>200000</v>
      </c>
    </row>
    <row r="2772" spans="8:15" ht="15.75" customHeight="1" thickBot="1" x14ac:dyDescent="0.3">
      <c r="H2772" s="319"/>
      <c r="I2772" s="313"/>
      <c r="J2772" s="315"/>
      <c r="K2772" s="317"/>
      <c r="L2772" s="319"/>
      <c r="M2772" s="321"/>
      <c r="N2772" s="55">
        <v>721</v>
      </c>
      <c r="O2772" s="56">
        <f>+M2771-O2771</f>
        <v>0</v>
      </c>
    </row>
    <row r="2773" spans="8:15" x14ac:dyDescent="0.25">
      <c r="H2773" s="318"/>
      <c r="I2773" s="312"/>
      <c r="J2773" s="314"/>
      <c r="K2773" s="316"/>
      <c r="L2773" s="318"/>
      <c r="M2773" s="320"/>
      <c r="N2773" s="53">
        <v>719</v>
      </c>
      <c r="O2773" s="54">
        <v>0</v>
      </c>
    </row>
    <row r="2774" spans="8:15" ht="13.5" customHeight="1" thickBot="1" x14ac:dyDescent="0.3">
      <c r="H2774" s="319"/>
      <c r="I2774" s="313"/>
      <c r="J2774" s="315"/>
      <c r="K2774" s="317"/>
      <c r="L2774" s="319"/>
      <c r="M2774" s="321"/>
      <c r="N2774" s="55">
        <v>721</v>
      </c>
      <c r="O2774" s="56">
        <f>+M2773-O2773</f>
        <v>0</v>
      </c>
    </row>
    <row r="2775" spans="8:15" x14ac:dyDescent="0.25">
      <c r="H2775" s="318"/>
      <c r="I2775" s="312"/>
      <c r="J2775" s="314"/>
      <c r="K2775" s="316"/>
      <c r="L2775" s="318"/>
      <c r="M2775" s="320"/>
      <c r="N2775" s="53">
        <v>719</v>
      </c>
      <c r="O2775" s="54"/>
    </row>
    <row r="2776" spans="8:15" ht="14.25" customHeight="1" thickBot="1" x14ac:dyDescent="0.3">
      <c r="H2776" s="319"/>
      <c r="I2776" s="313"/>
      <c r="J2776" s="315"/>
      <c r="K2776" s="317"/>
      <c r="L2776" s="319"/>
      <c r="M2776" s="321"/>
      <c r="N2776" s="55">
        <v>721</v>
      </c>
      <c r="O2776" s="56">
        <f>+M2775-O2775</f>
        <v>0</v>
      </c>
    </row>
    <row r="2777" spans="8:15" ht="16.5" thickBot="1" x14ac:dyDescent="0.3">
      <c r="H2777" s="297" t="s">
        <v>80</v>
      </c>
      <c r="I2777" s="298"/>
      <c r="J2777" s="298"/>
      <c r="K2777" s="298"/>
      <c r="L2777" s="299"/>
      <c r="M2777" s="62">
        <f>SUM(M2767:M2776)</f>
        <v>380000</v>
      </c>
    </row>
    <row r="2778" spans="8:15" ht="16.5" thickBot="1" x14ac:dyDescent="0.3">
      <c r="H2778" s="300" t="s">
        <v>81</v>
      </c>
      <c r="I2778" s="301"/>
      <c r="J2778" s="301"/>
      <c r="K2778" s="301"/>
      <c r="L2778" s="302"/>
      <c r="M2778" s="63">
        <f>+M2742</f>
        <v>111694097</v>
      </c>
      <c r="N2778" s="64" t="s">
        <v>82</v>
      </c>
      <c r="O2778" s="65">
        <f>328+189+267</f>
        <v>784</v>
      </c>
    </row>
    <row r="2779" spans="8:15" ht="16.5" thickBot="1" x14ac:dyDescent="0.3">
      <c r="H2779" s="303" t="s">
        <v>83</v>
      </c>
      <c r="I2779" s="304"/>
      <c r="J2779" s="304"/>
      <c r="K2779" s="304"/>
      <c r="L2779" s="305"/>
      <c r="M2779" s="66">
        <f>SUM(M2777:M2778)</f>
        <v>112074097</v>
      </c>
    </row>
    <row r="2780" spans="8:15" x14ac:dyDescent="0.25">
      <c r="H2780" s="67"/>
      <c r="I2780" s="67"/>
      <c r="J2780" s="67"/>
      <c r="K2780" s="67"/>
      <c r="L2780" s="67"/>
    </row>
    <row r="2781" spans="8:15" x14ac:dyDescent="0.25">
      <c r="H2781" s="41" t="s">
        <v>903</v>
      </c>
    </row>
    <row r="2782" spans="8:15" ht="12.75" customHeight="1" x14ac:dyDescent="0.25">
      <c r="M2782" s="68"/>
    </row>
    <row r="2783" spans="8:15" x14ac:dyDescent="0.25">
      <c r="H2783" s="40" t="s">
        <v>86</v>
      </c>
      <c r="K2783" s="69"/>
      <c r="M2783" s="68"/>
    </row>
    <row r="2784" spans="8:15" ht="13.5" customHeight="1" thickBot="1" x14ac:dyDescent="0.3"/>
    <row r="2785" spans="8:15" ht="15.75" thickBot="1" x14ac:dyDescent="0.3">
      <c r="H2785" s="306" t="s">
        <v>87</v>
      </c>
      <c r="I2785" s="307"/>
      <c r="J2785" s="307"/>
      <c r="K2785" s="308"/>
      <c r="M2785" s="40" t="s">
        <v>89</v>
      </c>
    </row>
    <row r="2786" spans="8:15" ht="30.75" thickBot="1" x14ac:dyDescent="0.3">
      <c r="H2786" s="70" t="s">
        <v>62</v>
      </c>
      <c r="I2786" s="71" t="s">
        <v>90</v>
      </c>
      <c r="J2786" s="204" t="s">
        <v>91</v>
      </c>
      <c r="K2786" s="73" t="s">
        <v>92</v>
      </c>
    </row>
    <row r="2787" spans="8:15" x14ac:dyDescent="0.25">
      <c r="H2787" s="75">
        <v>719</v>
      </c>
      <c r="I2787" s="76">
        <f>+O2767+O2769+O2771+O2773</f>
        <v>380000</v>
      </c>
      <c r="J2787" s="77">
        <f>+K2750</f>
        <v>31640000</v>
      </c>
      <c r="K2787" s="79">
        <f>+I2787+J2787</f>
        <v>32020000</v>
      </c>
    </row>
    <row r="2788" spans="8:15" x14ac:dyDescent="0.25">
      <c r="H2788" s="80">
        <v>721</v>
      </c>
      <c r="I2788" s="81">
        <f>+O2768+O2770+O2772+O2774+O2776</f>
        <v>0</v>
      </c>
      <c r="J2788" s="77">
        <f>+K2751</f>
        <v>93779134</v>
      </c>
      <c r="K2788" s="79">
        <f>+I2788+J2788</f>
        <v>93779134</v>
      </c>
    </row>
    <row r="2789" spans="8:15" x14ac:dyDescent="0.25">
      <c r="H2789" s="80">
        <v>722</v>
      </c>
      <c r="I2789" s="81"/>
      <c r="J2789" s="77">
        <f>+K2752</f>
        <v>2000000</v>
      </c>
      <c r="K2789" s="79">
        <f>+I2789+J2789</f>
        <v>2000000</v>
      </c>
    </row>
    <row r="2790" spans="8:15" ht="15.75" x14ac:dyDescent="0.25">
      <c r="H2790" s="80">
        <v>723</v>
      </c>
      <c r="I2790" s="81"/>
      <c r="J2790" s="77">
        <f>+K2753</f>
        <v>0</v>
      </c>
      <c r="K2790" s="79">
        <f>+I2790+J2790</f>
        <v>0</v>
      </c>
      <c r="M2790" s="109" t="s">
        <v>304</v>
      </c>
      <c r="N2790" s="84"/>
    </row>
    <row r="2791" spans="8:15" ht="16.5" thickBot="1" x14ac:dyDescent="0.3">
      <c r="H2791" s="85" t="s">
        <v>854</v>
      </c>
      <c r="I2791" s="86"/>
      <c r="J2791" s="77" t="e">
        <f>+K2754</f>
        <v>#REF!</v>
      </c>
      <c r="K2791" s="89" t="e">
        <f>+I2791+J2791</f>
        <v>#REF!</v>
      </c>
      <c r="M2791" s="45"/>
    </row>
    <row r="2792" spans="8:15" ht="16.5" thickBot="1" x14ac:dyDescent="0.3">
      <c r="H2792" s="90"/>
      <c r="I2792" s="94">
        <f>SUM(I2787:I2791)</f>
        <v>380000</v>
      </c>
      <c r="J2792" s="94" t="e">
        <f>SUM(J2787:J2791)</f>
        <v>#REF!</v>
      </c>
      <c r="K2792" s="95" t="e">
        <f>SUM(K2787:K2791)</f>
        <v>#REF!</v>
      </c>
    </row>
    <row r="2793" spans="8:15" ht="16.5" x14ac:dyDescent="0.25">
      <c r="H2793" s="39" t="s">
        <v>46</v>
      </c>
      <c r="I2793" s="40"/>
    </row>
    <row r="2794" spans="8:15" x14ac:dyDescent="0.25">
      <c r="H2794" s="41" t="s">
        <v>47</v>
      </c>
    </row>
    <row r="2795" spans="8:15" x14ac:dyDescent="0.25">
      <c r="H2795" s="41" t="s">
        <v>48</v>
      </c>
    </row>
    <row r="2796" spans="8:15" x14ac:dyDescent="0.25">
      <c r="H2796" s="41" t="s">
        <v>49</v>
      </c>
    </row>
    <row r="2797" spans="8:15" ht="10.5" customHeight="1" x14ac:dyDescent="0.25">
      <c r="H2797" s="40"/>
      <c r="I2797" s="40"/>
    </row>
    <row r="2798" spans="8:15" ht="15.75" x14ac:dyDescent="0.25">
      <c r="H2798" s="188" t="s">
        <v>904</v>
      </c>
      <c r="N2798" s="45"/>
    </row>
    <row r="2799" spans="8:15" ht="15.75" x14ac:dyDescent="0.25">
      <c r="H2799" s="47" t="s">
        <v>704</v>
      </c>
      <c r="N2799" s="47"/>
    </row>
    <row r="2800" spans="8:15" ht="16.5" x14ac:dyDescent="0.25">
      <c r="H2800" s="326" t="s">
        <v>905</v>
      </c>
      <c r="I2800" s="326"/>
      <c r="J2800" s="326"/>
      <c r="K2800" s="326"/>
      <c r="L2800" s="326"/>
      <c r="M2800" s="326"/>
      <c r="N2800" s="326"/>
      <c r="O2800" s="326"/>
    </row>
    <row r="2801" spans="8:15" ht="15.75" thickBot="1" x14ac:dyDescent="0.3"/>
    <row r="2802" spans="8:15" x14ac:dyDescent="0.25">
      <c r="H2802" s="327" t="s">
        <v>56</v>
      </c>
      <c r="I2802" s="322" t="s">
        <v>57</v>
      </c>
      <c r="J2802" s="322" t="s">
        <v>58</v>
      </c>
      <c r="K2802" s="322" t="s">
        <v>7</v>
      </c>
      <c r="L2802" s="322" t="s">
        <v>59</v>
      </c>
      <c r="M2802" s="322" t="s">
        <v>60</v>
      </c>
      <c r="N2802" s="322" t="s">
        <v>61</v>
      </c>
      <c r="O2802" s="324"/>
    </row>
    <row r="2803" spans="8:15" ht="15.75" thickBot="1" x14ac:dyDescent="0.3">
      <c r="H2803" s="328"/>
      <c r="I2803" s="323"/>
      <c r="J2803" s="323"/>
      <c r="K2803" s="323"/>
      <c r="L2803" s="323"/>
      <c r="M2803" s="323"/>
      <c r="N2803" s="51" t="s">
        <v>62</v>
      </c>
      <c r="O2803" s="52" t="s">
        <v>63</v>
      </c>
    </row>
    <row r="2804" spans="8:15" ht="14.25" customHeight="1" x14ac:dyDescent="0.25">
      <c r="H2804" s="318">
        <v>297</v>
      </c>
      <c r="I2804" s="312">
        <v>42660</v>
      </c>
      <c r="J2804" s="314" t="s">
        <v>877</v>
      </c>
      <c r="K2804" s="316" t="s">
        <v>906</v>
      </c>
      <c r="L2804" s="318" t="s">
        <v>5</v>
      </c>
      <c r="M2804" s="320">
        <v>260000</v>
      </c>
      <c r="N2804" s="53">
        <v>722</v>
      </c>
      <c r="O2804" s="54">
        <v>260000</v>
      </c>
    </row>
    <row r="2805" spans="8:15" ht="14.25" customHeight="1" thickBot="1" x14ac:dyDescent="0.3">
      <c r="H2805" s="319"/>
      <c r="I2805" s="313"/>
      <c r="J2805" s="315"/>
      <c r="K2805" s="317"/>
      <c r="L2805" s="319"/>
      <c r="M2805" s="321"/>
      <c r="N2805" s="55">
        <v>721</v>
      </c>
      <c r="O2805" s="206">
        <f>+M2804-O2804</f>
        <v>0</v>
      </c>
    </row>
    <row r="2806" spans="8:15" ht="14.25" customHeight="1" x14ac:dyDescent="0.25">
      <c r="H2806" s="318">
        <v>298</v>
      </c>
      <c r="I2806" s="312">
        <v>42660</v>
      </c>
      <c r="J2806" s="314" t="s">
        <v>295</v>
      </c>
      <c r="K2806" s="316" t="s">
        <v>906</v>
      </c>
      <c r="L2806" s="318" t="s">
        <v>5</v>
      </c>
      <c r="M2806" s="320">
        <v>600000</v>
      </c>
      <c r="N2806" s="53">
        <v>722</v>
      </c>
      <c r="O2806" s="54">
        <v>600000</v>
      </c>
    </row>
    <row r="2807" spans="8:15" ht="13.5" customHeight="1" thickBot="1" x14ac:dyDescent="0.3">
      <c r="H2807" s="319"/>
      <c r="I2807" s="313"/>
      <c r="J2807" s="315"/>
      <c r="K2807" s="317"/>
      <c r="L2807" s="319"/>
      <c r="M2807" s="321"/>
      <c r="N2807" s="55">
        <v>721</v>
      </c>
      <c r="O2807" s="113">
        <f>+M2806-O2806</f>
        <v>0</v>
      </c>
    </row>
    <row r="2808" spans="8:15" ht="15" customHeight="1" x14ac:dyDescent="0.25">
      <c r="H2808" s="318">
        <v>299</v>
      </c>
      <c r="I2808" s="312">
        <v>42660</v>
      </c>
      <c r="J2808" s="314" t="s">
        <v>251</v>
      </c>
      <c r="K2808" s="316" t="s">
        <v>906</v>
      </c>
      <c r="L2808" s="318" t="s">
        <v>5</v>
      </c>
      <c r="M2808" s="320">
        <v>560000</v>
      </c>
      <c r="N2808" s="53">
        <v>722</v>
      </c>
      <c r="O2808" s="54">
        <v>560000</v>
      </c>
    </row>
    <row r="2809" spans="8:15" ht="13.5" customHeight="1" thickBot="1" x14ac:dyDescent="0.3">
      <c r="H2809" s="319"/>
      <c r="I2809" s="313"/>
      <c r="J2809" s="315"/>
      <c r="K2809" s="317"/>
      <c r="L2809" s="319"/>
      <c r="M2809" s="321"/>
      <c r="N2809" s="55">
        <v>721</v>
      </c>
      <c r="O2809" s="113">
        <f>+M2808-O2808</f>
        <v>0</v>
      </c>
    </row>
    <row r="2810" spans="8:15" ht="15" customHeight="1" x14ac:dyDescent="0.25">
      <c r="H2810" s="318">
        <v>300</v>
      </c>
      <c r="I2810" s="312">
        <v>42660</v>
      </c>
      <c r="J2810" s="314" t="s">
        <v>907</v>
      </c>
      <c r="K2810" s="316" t="s">
        <v>906</v>
      </c>
      <c r="L2810" s="318" t="s">
        <v>5</v>
      </c>
      <c r="M2810" s="320">
        <v>1000000</v>
      </c>
      <c r="N2810" s="53">
        <v>722</v>
      </c>
      <c r="O2810" s="54">
        <v>1000000</v>
      </c>
    </row>
    <row r="2811" spans="8:15" ht="13.5" customHeight="1" thickBot="1" x14ac:dyDescent="0.3">
      <c r="H2811" s="319"/>
      <c r="I2811" s="313"/>
      <c r="J2811" s="315"/>
      <c r="K2811" s="317"/>
      <c r="L2811" s="319"/>
      <c r="M2811" s="321"/>
      <c r="N2811" s="55">
        <v>721</v>
      </c>
      <c r="O2811" s="56">
        <f>+M2810-O2810</f>
        <v>0</v>
      </c>
    </row>
    <row r="2812" spans="8:15" ht="15" customHeight="1" x14ac:dyDescent="0.25">
      <c r="H2812" s="318">
        <v>301</v>
      </c>
      <c r="I2812" s="312">
        <v>42660</v>
      </c>
      <c r="J2812" s="314" t="s">
        <v>781</v>
      </c>
      <c r="K2812" s="316" t="s">
        <v>906</v>
      </c>
      <c r="L2812" s="318" t="s">
        <v>5</v>
      </c>
      <c r="M2812" s="320">
        <v>200000</v>
      </c>
      <c r="N2812" s="53">
        <v>722</v>
      </c>
      <c r="O2812" s="54">
        <v>200000</v>
      </c>
    </row>
    <row r="2813" spans="8:15" ht="13.5" customHeight="1" thickBot="1" x14ac:dyDescent="0.3">
      <c r="H2813" s="319"/>
      <c r="I2813" s="313"/>
      <c r="J2813" s="315"/>
      <c r="K2813" s="317"/>
      <c r="L2813" s="319"/>
      <c r="M2813" s="321"/>
      <c r="N2813" s="55">
        <v>721</v>
      </c>
      <c r="O2813" s="56">
        <f>+M2812-O2812</f>
        <v>0</v>
      </c>
    </row>
    <row r="2814" spans="8:15" ht="15" customHeight="1" x14ac:dyDescent="0.25">
      <c r="H2814" s="318">
        <v>302</v>
      </c>
      <c r="I2814" s="312">
        <v>42660</v>
      </c>
      <c r="J2814" s="314" t="s">
        <v>908</v>
      </c>
      <c r="K2814" s="316" t="s">
        <v>906</v>
      </c>
      <c r="L2814" s="318" t="s">
        <v>5</v>
      </c>
      <c r="M2814" s="320">
        <v>220000</v>
      </c>
      <c r="N2814" s="53">
        <v>722</v>
      </c>
      <c r="O2814" s="54">
        <v>220000</v>
      </c>
    </row>
    <row r="2815" spans="8:15" ht="13.5" customHeight="1" thickBot="1" x14ac:dyDescent="0.3">
      <c r="H2815" s="319"/>
      <c r="I2815" s="313"/>
      <c r="J2815" s="315"/>
      <c r="K2815" s="317"/>
      <c r="L2815" s="319"/>
      <c r="M2815" s="321"/>
      <c r="N2815" s="55">
        <v>721</v>
      </c>
      <c r="O2815" s="56">
        <f>+M2814-O2814</f>
        <v>0</v>
      </c>
    </row>
    <row r="2816" spans="8:15" ht="15" customHeight="1" thickBot="1" x14ac:dyDescent="0.3">
      <c r="H2816" s="297" t="s">
        <v>80</v>
      </c>
      <c r="I2816" s="298"/>
      <c r="J2816" s="298"/>
      <c r="K2816" s="298"/>
      <c r="L2816" s="299"/>
      <c r="M2816" s="62">
        <f>SUM(M2804:M2815)</f>
        <v>2840000</v>
      </c>
    </row>
    <row r="2817" spans="8:15" ht="16.5" thickBot="1" x14ac:dyDescent="0.3">
      <c r="H2817" s="300" t="s">
        <v>81</v>
      </c>
      <c r="I2817" s="301"/>
      <c r="J2817" s="301"/>
      <c r="K2817" s="301"/>
      <c r="L2817" s="302"/>
      <c r="M2817" s="63">
        <f>+M2779</f>
        <v>112074097</v>
      </c>
      <c r="N2817" s="64" t="s">
        <v>82</v>
      </c>
      <c r="O2817" s="65"/>
    </row>
    <row r="2818" spans="8:15" ht="16.5" thickBot="1" x14ac:dyDescent="0.3">
      <c r="H2818" s="303" t="s">
        <v>83</v>
      </c>
      <c r="I2818" s="304"/>
      <c r="J2818" s="304"/>
      <c r="K2818" s="304"/>
      <c r="L2818" s="305"/>
      <c r="M2818" s="66">
        <f>SUM(M2816:M2817)</f>
        <v>114914097</v>
      </c>
    </row>
    <row r="2819" spans="8:15" ht="12.75" customHeight="1" x14ac:dyDescent="0.25">
      <c r="H2819" s="67"/>
      <c r="I2819" s="67"/>
      <c r="J2819" s="67"/>
      <c r="K2819" s="67"/>
      <c r="L2819" s="67"/>
    </row>
    <row r="2820" spans="8:15" x14ac:dyDescent="0.25">
      <c r="H2820" s="41" t="s">
        <v>909</v>
      </c>
    </row>
    <row r="2821" spans="8:15" ht="10.5" customHeight="1" x14ac:dyDescent="0.25">
      <c r="M2821" s="68"/>
    </row>
    <row r="2822" spans="8:15" x14ac:dyDescent="0.25">
      <c r="H2822" s="40" t="s">
        <v>86</v>
      </c>
      <c r="K2822" s="69"/>
      <c r="M2822" s="68"/>
    </row>
    <row r="2823" spans="8:15" ht="9" customHeight="1" thickBot="1" x14ac:dyDescent="0.3"/>
    <row r="2824" spans="8:15" ht="15.75" thickBot="1" x14ac:dyDescent="0.3">
      <c r="H2824" s="306" t="s">
        <v>87</v>
      </c>
      <c r="I2824" s="307"/>
      <c r="J2824" s="307"/>
      <c r="K2824" s="308"/>
      <c r="M2824" s="40" t="s">
        <v>89</v>
      </c>
    </row>
    <row r="2825" spans="8:15" ht="29.25" customHeight="1" thickBot="1" x14ac:dyDescent="0.3">
      <c r="H2825" s="70" t="s">
        <v>62</v>
      </c>
      <c r="I2825" s="71" t="s">
        <v>90</v>
      </c>
      <c r="J2825" s="204" t="s">
        <v>91</v>
      </c>
      <c r="K2825" s="73" t="s">
        <v>92</v>
      </c>
    </row>
    <row r="2826" spans="8:15" ht="14.25" customHeight="1" x14ac:dyDescent="0.25">
      <c r="H2826" s="75">
        <v>719</v>
      </c>
      <c r="I2826" s="76"/>
      <c r="J2826" s="77">
        <f>+K2787</f>
        <v>32020000</v>
      </c>
      <c r="K2826" s="79">
        <f>+I2826+J2826</f>
        <v>32020000</v>
      </c>
    </row>
    <row r="2827" spans="8:15" x14ac:dyDescent="0.25">
      <c r="H2827" s="80">
        <v>721</v>
      </c>
      <c r="I2827" s="81">
        <f>+O2805+O2807+O2809+O2811+O2815+O2813</f>
        <v>0</v>
      </c>
      <c r="J2827" s="77">
        <f>+K2788</f>
        <v>93779134</v>
      </c>
      <c r="K2827" s="79">
        <f>+I2827+J2827</f>
        <v>93779134</v>
      </c>
    </row>
    <row r="2828" spans="8:15" x14ac:dyDescent="0.25">
      <c r="H2828" s="80">
        <v>722</v>
      </c>
      <c r="I2828" s="81">
        <f>+O2804+O2806+O2808+O2810+O2812+O2814</f>
        <v>2840000</v>
      </c>
      <c r="J2828" s="77">
        <f>+K2789</f>
        <v>2000000</v>
      </c>
      <c r="K2828" s="79">
        <f>+I2828+J2828</f>
        <v>4840000</v>
      </c>
    </row>
    <row r="2829" spans="8:15" ht="15" customHeight="1" x14ac:dyDescent="0.25">
      <c r="H2829" s="80">
        <v>723</v>
      </c>
      <c r="I2829" s="81"/>
      <c r="J2829" s="77">
        <f>+K2790</f>
        <v>0</v>
      </c>
      <c r="K2829" s="79">
        <f>+I2829+J2829</f>
        <v>0</v>
      </c>
      <c r="M2829" s="109" t="s">
        <v>304</v>
      </c>
      <c r="N2829" s="84"/>
    </row>
    <row r="2830" spans="8:15" ht="14.25" customHeight="1" thickBot="1" x14ac:dyDescent="0.3">
      <c r="H2830" s="85" t="s">
        <v>854</v>
      </c>
      <c r="I2830" s="86"/>
      <c r="J2830" s="77" t="e">
        <f>+K2791</f>
        <v>#REF!</v>
      </c>
      <c r="K2830" s="89" t="e">
        <f>+I2830+J2830</f>
        <v>#REF!</v>
      </c>
      <c r="M2830" s="45"/>
    </row>
    <row r="2831" spans="8:15" ht="16.5" thickBot="1" x14ac:dyDescent="0.3">
      <c r="H2831" s="90"/>
      <c r="I2831" s="94">
        <f>SUM(I2826:I2830)</f>
        <v>2840000</v>
      </c>
      <c r="J2831" s="94" t="e">
        <f>SUM(J2826:J2830)</f>
        <v>#REF!</v>
      </c>
      <c r="K2831" s="95" t="e">
        <f>SUM(K2826:K2830)</f>
        <v>#REF!</v>
      </c>
    </row>
    <row r="2832" spans="8:15" ht="16.5" x14ac:dyDescent="0.25">
      <c r="H2832" s="39" t="s">
        <v>46</v>
      </c>
      <c r="I2832" s="40"/>
    </row>
    <row r="2833" spans="8:15" x14ac:dyDescent="0.25">
      <c r="H2833" s="41" t="s">
        <v>47</v>
      </c>
    </row>
    <row r="2834" spans="8:15" x14ac:dyDescent="0.25">
      <c r="H2834" s="41" t="s">
        <v>48</v>
      </c>
    </row>
    <row r="2835" spans="8:15" x14ac:dyDescent="0.25">
      <c r="H2835" s="41" t="s">
        <v>49</v>
      </c>
    </row>
    <row r="2836" spans="8:15" ht="10.5" customHeight="1" x14ac:dyDescent="0.25">
      <c r="H2836" s="40"/>
      <c r="I2836" s="40"/>
    </row>
    <row r="2837" spans="8:15" ht="15.75" x14ac:dyDescent="0.25">
      <c r="H2837" s="188" t="s">
        <v>910</v>
      </c>
      <c r="N2837" s="45"/>
    </row>
    <row r="2838" spans="8:15" ht="15.75" x14ac:dyDescent="0.25">
      <c r="H2838" s="47" t="s">
        <v>704</v>
      </c>
      <c r="N2838" s="47"/>
    </row>
    <row r="2839" spans="8:15" ht="16.5" x14ac:dyDescent="0.25">
      <c r="H2839" s="326" t="s">
        <v>905</v>
      </c>
      <c r="I2839" s="326"/>
      <c r="J2839" s="326"/>
      <c r="K2839" s="326"/>
      <c r="L2839" s="326"/>
      <c r="M2839" s="326"/>
      <c r="N2839" s="326"/>
      <c r="O2839" s="326"/>
    </row>
    <row r="2840" spans="8:15" ht="12.75" customHeight="1" thickBot="1" x14ac:dyDescent="0.3"/>
    <row r="2841" spans="8:15" x14ac:dyDescent="0.25">
      <c r="H2841" s="327" t="s">
        <v>56</v>
      </c>
      <c r="I2841" s="322" t="s">
        <v>57</v>
      </c>
      <c r="J2841" s="322" t="s">
        <v>58</v>
      </c>
      <c r="K2841" s="322" t="s">
        <v>7</v>
      </c>
      <c r="L2841" s="322" t="s">
        <v>59</v>
      </c>
      <c r="M2841" s="322" t="s">
        <v>60</v>
      </c>
      <c r="N2841" s="322" t="s">
        <v>61</v>
      </c>
      <c r="O2841" s="324"/>
    </row>
    <row r="2842" spans="8:15" ht="15.75" thickBot="1" x14ac:dyDescent="0.3">
      <c r="H2842" s="328"/>
      <c r="I2842" s="323"/>
      <c r="J2842" s="323"/>
      <c r="K2842" s="323"/>
      <c r="L2842" s="323"/>
      <c r="M2842" s="323"/>
      <c r="N2842" s="51" t="s">
        <v>62</v>
      </c>
      <c r="O2842" s="52" t="s">
        <v>63</v>
      </c>
    </row>
    <row r="2843" spans="8:15" ht="14.25" customHeight="1" x14ac:dyDescent="0.25">
      <c r="H2843" s="318">
        <v>303</v>
      </c>
      <c r="I2843" s="312">
        <v>42660</v>
      </c>
      <c r="J2843" s="314" t="s">
        <v>911</v>
      </c>
      <c r="K2843" s="316" t="s">
        <v>906</v>
      </c>
      <c r="L2843" s="318" t="s">
        <v>5</v>
      </c>
      <c r="M2843" s="320">
        <v>180000</v>
      </c>
      <c r="N2843" s="53">
        <v>722</v>
      </c>
      <c r="O2843" s="54">
        <v>180000</v>
      </c>
    </row>
    <row r="2844" spans="8:15" ht="12.75" customHeight="1" thickBot="1" x14ac:dyDescent="0.3">
      <c r="H2844" s="319"/>
      <c r="I2844" s="313"/>
      <c r="J2844" s="315"/>
      <c r="K2844" s="317"/>
      <c r="L2844" s="319"/>
      <c r="M2844" s="321"/>
      <c r="N2844" s="55">
        <v>721</v>
      </c>
      <c r="O2844" s="206">
        <f>+M2843-O2843</f>
        <v>0</v>
      </c>
    </row>
    <row r="2845" spans="8:15" x14ac:dyDescent="0.25">
      <c r="H2845" s="318">
        <v>304</v>
      </c>
      <c r="I2845" s="312">
        <v>42660</v>
      </c>
      <c r="J2845" s="314" t="s">
        <v>912</v>
      </c>
      <c r="K2845" s="316" t="s">
        <v>906</v>
      </c>
      <c r="L2845" s="318" t="s">
        <v>5</v>
      </c>
      <c r="M2845" s="320">
        <v>160000</v>
      </c>
      <c r="N2845" s="53">
        <v>722</v>
      </c>
      <c r="O2845" s="54">
        <v>160000</v>
      </c>
    </row>
    <row r="2846" spans="8:15" ht="13.5" customHeight="1" thickBot="1" x14ac:dyDescent="0.3">
      <c r="H2846" s="319"/>
      <c r="I2846" s="313"/>
      <c r="J2846" s="315"/>
      <c r="K2846" s="317"/>
      <c r="L2846" s="319"/>
      <c r="M2846" s="321"/>
      <c r="N2846" s="55">
        <v>721</v>
      </c>
      <c r="O2846" s="113">
        <f>+M2845-O2845</f>
        <v>0</v>
      </c>
    </row>
    <row r="2847" spans="8:15" ht="13.5" customHeight="1" x14ac:dyDescent="0.25">
      <c r="H2847" s="318">
        <v>305</v>
      </c>
      <c r="I2847" s="312">
        <v>42660</v>
      </c>
      <c r="J2847" s="314" t="s">
        <v>913</v>
      </c>
      <c r="K2847" s="316" t="s">
        <v>906</v>
      </c>
      <c r="L2847" s="318" t="s">
        <v>5</v>
      </c>
      <c r="M2847" s="320">
        <v>220000</v>
      </c>
      <c r="N2847" s="53">
        <v>722</v>
      </c>
      <c r="O2847" s="54">
        <v>220000</v>
      </c>
    </row>
    <row r="2848" spans="8:15" ht="12.75" customHeight="1" thickBot="1" x14ac:dyDescent="0.3">
      <c r="H2848" s="319"/>
      <c r="I2848" s="313"/>
      <c r="J2848" s="315"/>
      <c r="K2848" s="317"/>
      <c r="L2848" s="319"/>
      <c r="M2848" s="321"/>
      <c r="N2848" s="55">
        <v>721</v>
      </c>
      <c r="O2848" s="113">
        <f>+M2847-O2847</f>
        <v>0</v>
      </c>
    </row>
    <row r="2849" spans="8:15" x14ac:dyDescent="0.25">
      <c r="H2849" s="318">
        <v>306</v>
      </c>
      <c r="I2849" s="312">
        <v>42660</v>
      </c>
      <c r="J2849" s="314" t="s">
        <v>914</v>
      </c>
      <c r="K2849" s="316" t="s">
        <v>906</v>
      </c>
      <c r="L2849" s="318" t="s">
        <v>5</v>
      </c>
      <c r="M2849" s="320">
        <v>40000</v>
      </c>
      <c r="N2849" s="53">
        <v>722</v>
      </c>
      <c r="O2849" s="54">
        <v>40000</v>
      </c>
    </row>
    <row r="2850" spans="8:15" ht="12" customHeight="1" thickBot="1" x14ac:dyDescent="0.3">
      <c r="H2850" s="319"/>
      <c r="I2850" s="313"/>
      <c r="J2850" s="315"/>
      <c r="K2850" s="317"/>
      <c r="L2850" s="319"/>
      <c r="M2850" s="321"/>
      <c r="N2850" s="55">
        <v>721</v>
      </c>
      <c r="O2850" s="56">
        <f>+M2849-O2849</f>
        <v>0</v>
      </c>
    </row>
    <row r="2851" spans="8:15" x14ac:dyDescent="0.25">
      <c r="H2851" s="318">
        <v>307</v>
      </c>
      <c r="I2851" s="312">
        <v>42660</v>
      </c>
      <c r="J2851" s="314" t="s">
        <v>858</v>
      </c>
      <c r="K2851" s="316" t="s">
        <v>906</v>
      </c>
      <c r="L2851" s="318" t="s">
        <v>5</v>
      </c>
      <c r="M2851" s="320">
        <v>20000</v>
      </c>
      <c r="N2851" s="53">
        <v>722</v>
      </c>
      <c r="O2851" s="54">
        <v>20000</v>
      </c>
    </row>
    <row r="2852" spans="8:15" ht="14.25" customHeight="1" thickBot="1" x14ac:dyDescent="0.3">
      <c r="H2852" s="319"/>
      <c r="I2852" s="313"/>
      <c r="J2852" s="315"/>
      <c r="K2852" s="317"/>
      <c r="L2852" s="319"/>
      <c r="M2852" s="321"/>
      <c r="N2852" s="55">
        <v>721</v>
      </c>
      <c r="O2852" s="56">
        <f>+M2851-O2851</f>
        <v>0</v>
      </c>
    </row>
    <row r="2853" spans="8:15" ht="14.25" customHeight="1" x14ac:dyDescent="0.25">
      <c r="H2853" s="318">
        <v>308</v>
      </c>
      <c r="I2853" s="312">
        <v>42660</v>
      </c>
      <c r="J2853" s="314" t="s">
        <v>915</v>
      </c>
      <c r="K2853" s="316" t="s">
        <v>906</v>
      </c>
      <c r="L2853" s="318" t="s">
        <v>5</v>
      </c>
      <c r="M2853" s="320">
        <v>120000</v>
      </c>
      <c r="N2853" s="53">
        <v>722</v>
      </c>
      <c r="O2853" s="54">
        <v>120000</v>
      </c>
    </row>
    <row r="2854" spans="8:15" ht="13.5" customHeight="1" thickBot="1" x14ac:dyDescent="0.3">
      <c r="H2854" s="319"/>
      <c r="I2854" s="313"/>
      <c r="J2854" s="315"/>
      <c r="K2854" s="317"/>
      <c r="L2854" s="319"/>
      <c r="M2854" s="321"/>
      <c r="N2854" s="55">
        <v>721</v>
      </c>
      <c r="O2854" s="56">
        <f>+M2853-O2853</f>
        <v>0</v>
      </c>
    </row>
    <row r="2855" spans="8:15" ht="16.5" thickBot="1" x14ac:dyDescent="0.3">
      <c r="H2855" s="297" t="s">
        <v>80</v>
      </c>
      <c r="I2855" s="298"/>
      <c r="J2855" s="298"/>
      <c r="K2855" s="298"/>
      <c r="L2855" s="299"/>
      <c r="M2855" s="62">
        <f>SUM(M2843:M2854)</f>
        <v>740000</v>
      </c>
    </row>
    <row r="2856" spans="8:15" ht="16.5" thickBot="1" x14ac:dyDescent="0.3">
      <c r="H2856" s="300" t="s">
        <v>81</v>
      </c>
      <c r="I2856" s="301"/>
      <c r="J2856" s="301"/>
      <c r="K2856" s="301"/>
      <c r="L2856" s="302"/>
      <c r="M2856" s="63">
        <f>+M2818</f>
        <v>114914097</v>
      </c>
      <c r="N2856" s="64" t="s">
        <v>82</v>
      </c>
      <c r="O2856" s="65"/>
    </row>
    <row r="2857" spans="8:15" ht="14.25" customHeight="1" thickBot="1" x14ac:dyDescent="0.3">
      <c r="H2857" s="303" t="s">
        <v>83</v>
      </c>
      <c r="I2857" s="304"/>
      <c r="J2857" s="304"/>
      <c r="K2857" s="304"/>
      <c r="L2857" s="305"/>
      <c r="M2857" s="66">
        <f>SUM(M2855:M2856)</f>
        <v>115654097</v>
      </c>
    </row>
    <row r="2858" spans="8:15" ht="12.75" customHeight="1" x14ac:dyDescent="0.25">
      <c r="H2858" s="67"/>
      <c r="I2858" s="67"/>
      <c r="J2858" s="67"/>
      <c r="K2858" s="67"/>
      <c r="L2858" s="67"/>
    </row>
    <row r="2859" spans="8:15" x14ac:dyDescent="0.25">
      <c r="H2859" s="41" t="s">
        <v>916</v>
      </c>
    </row>
    <row r="2860" spans="8:15" ht="10.5" customHeight="1" x14ac:dyDescent="0.25">
      <c r="M2860" s="68"/>
    </row>
    <row r="2861" spans="8:15" x14ac:dyDescent="0.25">
      <c r="H2861" s="40" t="s">
        <v>86</v>
      </c>
      <c r="K2861" s="69"/>
      <c r="M2861" s="68"/>
    </row>
    <row r="2862" spans="8:15" ht="12" customHeight="1" thickBot="1" x14ac:dyDescent="0.3"/>
    <row r="2863" spans="8:15" ht="15.75" thickBot="1" x14ac:dyDescent="0.3">
      <c r="H2863" s="306" t="s">
        <v>87</v>
      </c>
      <c r="I2863" s="307"/>
      <c r="J2863" s="307"/>
      <c r="K2863" s="308"/>
      <c r="M2863" s="40" t="s">
        <v>89</v>
      </c>
    </row>
    <row r="2864" spans="8:15" ht="30.75" thickBot="1" x14ac:dyDescent="0.3">
      <c r="H2864" s="70" t="s">
        <v>62</v>
      </c>
      <c r="I2864" s="71" t="s">
        <v>90</v>
      </c>
      <c r="J2864" s="204" t="s">
        <v>91</v>
      </c>
      <c r="K2864" s="73" t="s">
        <v>92</v>
      </c>
    </row>
    <row r="2865" spans="8:15" x14ac:dyDescent="0.25">
      <c r="H2865" s="75">
        <v>719</v>
      </c>
      <c r="I2865" s="76"/>
      <c r="J2865" s="77">
        <f>+K2826</f>
        <v>32020000</v>
      </c>
      <c r="K2865" s="79">
        <f>+I2865+J2865</f>
        <v>32020000</v>
      </c>
    </row>
    <row r="2866" spans="8:15" x14ac:dyDescent="0.25">
      <c r="H2866" s="80">
        <v>721</v>
      </c>
      <c r="I2866" s="81">
        <f>+O2844+O2846+O2848+O2850+O2854+O2852</f>
        <v>0</v>
      </c>
      <c r="J2866" s="77">
        <f>+K2827</f>
        <v>93779134</v>
      </c>
      <c r="K2866" s="79">
        <f>+I2866+J2866</f>
        <v>93779134</v>
      </c>
    </row>
    <row r="2867" spans="8:15" x14ac:dyDescent="0.25">
      <c r="H2867" s="80">
        <v>722</v>
      </c>
      <c r="I2867" s="81">
        <f>+O2843+O2845+O2847+O2849+O2851+O2853</f>
        <v>740000</v>
      </c>
      <c r="J2867" s="77">
        <f>+K2828</f>
        <v>4840000</v>
      </c>
      <c r="K2867" s="79">
        <f>+I2867+J2867</f>
        <v>5580000</v>
      </c>
    </row>
    <row r="2868" spans="8:15" ht="15.75" x14ac:dyDescent="0.25">
      <c r="H2868" s="80">
        <v>723</v>
      </c>
      <c r="I2868" s="81"/>
      <c r="J2868" s="77">
        <f>+K2829</f>
        <v>0</v>
      </c>
      <c r="K2868" s="79">
        <f>+I2868+J2868</f>
        <v>0</v>
      </c>
      <c r="M2868" s="109" t="s">
        <v>304</v>
      </c>
      <c r="N2868" s="84"/>
    </row>
    <row r="2869" spans="8:15" ht="16.5" thickBot="1" x14ac:dyDescent="0.3">
      <c r="H2869" s="85" t="s">
        <v>854</v>
      </c>
      <c r="I2869" s="86"/>
      <c r="J2869" s="77" t="e">
        <f>+K2830</f>
        <v>#REF!</v>
      </c>
      <c r="K2869" s="89" t="e">
        <f>+I2869+J2869</f>
        <v>#REF!</v>
      </c>
      <c r="M2869" s="45"/>
    </row>
    <row r="2870" spans="8:15" ht="16.5" thickBot="1" x14ac:dyDescent="0.3">
      <c r="H2870" s="90"/>
      <c r="I2870" s="94">
        <f>SUM(I2865:I2869)</f>
        <v>740000</v>
      </c>
      <c r="J2870" s="94" t="e">
        <f>SUM(J2865:J2869)</f>
        <v>#REF!</v>
      </c>
      <c r="K2870" s="95" t="e">
        <f>SUM(K2865:K2869)</f>
        <v>#REF!</v>
      </c>
    </row>
    <row r="2871" spans="8:15" ht="16.5" x14ac:dyDescent="0.25">
      <c r="H2871" s="39" t="s">
        <v>46</v>
      </c>
      <c r="I2871" s="40"/>
    </row>
    <row r="2872" spans="8:15" x14ac:dyDescent="0.25">
      <c r="H2872" s="41" t="s">
        <v>47</v>
      </c>
    </row>
    <row r="2873" spans="8:15" x14ac:dyDescent="0.25">
      <c r="H2873" s="41" t="s">
        <v>48</v>
      </c>
    </row>
    <row r="2874" spans="8:15" x14ac:dyDescent="0.25">
      <c r="H2874" s="41" t="s">
        <v>49</v>
      </c>
    </row>
    <row r="2875" spans="8:15" ht="9.75" customHeight="1" x14ac:dyDescent="0.25">
      <c r="H2875" s="40"/>
      <c r="I2875" s="40"/>
    </row>
    <row r="2876" spans="8:15" ht="15.75" x14ac:dyDescent="0.25">
      <c r="H2876" s="188" t="s">
        <v>917</v>
      </c>
      <c r="N2876" s="45"/>
    </row>
    <row r="2877" spans="8:15" ht="15.75" x14ac:dyDescent="0.25">
      <c r="H2877" s="47" t="s">
        <v>704</v>
      </c>
      <c r="N2877" s="47"/>
    </row>
    <row r="2878" spans="8:15" ht="16.5" x14ac:dyDescent="0.25">
      <c r="H2878" s="326" t="s">
        <v>918</v>
      </c>
      <c r="I2878" s="326"/>
      <c r="J2878" s="326"/>
      <c r="K2878" s="326"/>
      <c r="L2878" s="326"/>
      <c r="M2878" s="326"/>
      <c r="N2878" s="326"/>
      <c r="O2878" s="326"/>
    </row>
    <row r="2879" spans="8:15" ht="15.75" thickBot="1" x14ac:dyDescent="0.3"/>
    <row r="2880" spans="8:15" x14ac:dyDescent="0.25">
      <c r="H2880" s="327" t="s">
        <v>56</v>
      </c>
      <c r="I2880" s="322" t="s">
        <v>57</v>
      </c>
      <c r="J2880" s="322" t="s">
        <v>58</v>
      </c>
      <c r="K2880" s="322" t="s">
        <v>7</v>
      </c>
      <c r="L2880" s="322" t="s">
        <v>59</v>
      </c>
      <c r="M2880" s="322" t="s">
        <v>60</v>
      </c>
      <c r="N2880" s="322" t="s">
        <v>61</v>
      </c>
      <c r="O2880" s="324"/>
    </row>
    <row r="2881" spans="8:15" ht="15.75" thickBot="1" x14ac:dyDescent="0.3">
      <c r="H2881" s="328"/>
      <c r="I2881" s="323"/>
      <c r="J2881" s="323"/>
      <c r="K2881" s="323"/>
      <c r="L2881" s="323"/>
      <c r="M2881" s="323"/>
      <c r="N2881" s="51" t="s">
        <v>62</v>
      </c>
      <c r="O2881" s="52" t="s">
        <v>63</v>
      </c>
    </row>
    <row r="2882" spans="8:15" x14ac:dyDescent="0.25">
      <c r="H2882" s="318">
        <v>309</v>
      </c>
      <c r="I2882" s="312">
        <v>42674</v>
      </c>
      <c r="J2882" s="314" t="s">
        <v>858</v>
      </c>
      <c r="K2882" s="316" t="s">
        <v>919</v>
      </c>
      <c r="L2882" s="318" t="s">
        <v>5</v>
      </c>
      <c r="M2882" s="320">
        <v>2672700</v>
      </c>
      <c r="N2882" s="53">
        <v>722</v>
      </c>
      <c r="O2882" s="54">
        <v>0</v>
      </c>
    </row>
    <row r="2883" spans="8:15" ht="15.75" thickBot="1" x14ac:dyDescent="0.3">
      <c r="H2883" s="319"/>
      <c r="I2883" s="313"/>
      <c r="J2883" s="315"/>
      <c r="K2883" s="317"/>
      <c r="L2883" s="319"/>
      <c r="M2883" s="321"/>
      <c r="N2883" s="55">
        <v>721</v>
      </c>
      <c r="O2883" s="206">
        <f>+M2882-O2882</f>
        <v>2672700</v>
      </c>
    </row>
    <row r="2884" spans="8:15" ht="15" customHeight="1" x14ac:dyDescent="0.25">
      <c r="H2884" s="318">
        <v>310</v>
      </c>
      <c r="I2884" s="312">
        <v>42674</v>
      </c>
      <c r="J2884" s="314" t="s">
        <v>858</v>
      </c>
      <c r="K2884" s="316" t="s">
        <v>920</v>
      </c>
      <c r="L2884" s="318" t="s">
        <v>5</v>
      </c>
      <c r="M2884" s="320">
        <v>28216212</v>
      </c>
      <c r="N2884" s="53">
        <v>722</v>
      </c>
      <c r="O2884" s="54"/>
    </row>
    <row r="2885" spans="8:15" ht="15.75" customHeight="1" thickBot="1" x14ac:dyDescent="0.3">
      <c r="H2885" s="319"/>
      <c r="I2885" s="313"/>
      <c r="J2885" s="315"/>
      <c r="K2885" s="317"/>
      <c r="L2885" s="319"/>
      <c r="M2885" s="321"/>
      <c r="N2885" s="55">
        <v>721</v>
      </c>
      <c r="O2885" s="113">
        <f>+M2884-O2884</f>
        <v>28216212</v>
      </c>
    </row>
    <row r="2886" spans="8:15" ht="15" customHeight="1" x14ac:dyDescent="0.25">
      <c r="H2886" s="318">
        <v>311</v>
      </c>
      <c r="I2886" s="312">
        <v>42674</v>
      </c>
      <c r="J2886" s="314" t="s">
        <v>858</v>
      </c>
      <c r="K2886" s="316" t="s">
        <v>921</v>
      </c>
      <c r="L2886" s="318" t="s">
        <v>5</v>
      </c>
      <c r="M2886" s="320">
        <v>16677173</v>
      </c>
      <c r="N2886" s="53">
        <v>722</v>
      </c>
      <c r="O2886" s="54"/>
    </row>
    <row r="2887" spans="8:15" ht="15.75" customHeight="1" thickBot="1" x14ac:dyDescent="0.3">
      <c r="H2887" s="319"/>
      <c r="I2887" s="313"/>
      <c r="J2887" s="315"/>
      <c r="K2887" s="317"/>
      <c r="L2887" s="319"/>
      <c r="M2887" s="321"/>
      <c r="N2887" s="55">
        <v>721</v>
      </c>
      <c r="O2887" s="113">
        <f>+M2886-O2886</f>
        <v>16677173</v>
      </c>
    </row>
    <row r="2888" spans="8:15" ht="15" customHeight="1" x14ac:dyDescent="0.25">
      <c r="H2888" s="318">
        <v>312</v>
      </c>
      <c r="I2888" s="312">
        <v>42675</v>
      </c>
      <c r="J2888" s="314" t="s">
        <v>858</v>
      </c>
      <c r="K2888" s="316" t="s">
        <v>635</v>
      </c>
      <c r="L2888" s="318" t="s">
        <v>5</v>
      </c>
      <c r="M2888" s="320">
        <v>24662327</v>
      </c>
      <c r="N2888" s="53">
        <v>722</v>
      </c>
      <c r="O2888" s="54"/>
    </row>
    <row r="2889" spans="8:15" ht="13.5" customHeight="1" thickBot="1" x14ac:dyDescent="0.3">
      <c r="H2889" s="319"/>
      <c r="I2889" s="313"/>
      <c r="J2889" s="315"/>
      <c r="K2889" s="317"/>
      <c r="L2889" s="319"/>
      <c r="M2889" s="321"/>
      <c r="N2889" s="55">
        <v>721</v>
      </c>
      <c r="O2889" s="56">
        <f>+M2888-O2888</f>
        <v>24662327</v>
      </c>
    </row>
    <row r="2890" spans="8:15" x14ac:dyDescent="0.25">
      <c r="H2890" s="318"/>
      <c r="I2890" s="312"/>
      <c r="J2890" s="314"/>
      <c r="K2890" s="316"/>
      <c r="L2890" s="318"/>
      <c r="M2890" s="320"/>
      <c r="N2890" s="53">
        <v>722</v>
      </c>
      <c r="O2890" s="54"/>
    </row>
    <row r="2891" spans="8:15" ht="13.5" customHeight="1" thickBot="1" x14ac:dyDescent="0.3">
      <c r="H2891" s="319"/>
      <c r="I2891" s="313"/>
      <c r="J2891" s="315"/>
      <c r="K2891" s="317"/>
      <c r="L2891" s="319"/>
      <c r="M2891" s="321"/>
      <c r="N2891" s="55">
        <v>721</v>
      </c>
      <c r="O2891" s="56">
        <f>+M2890-O2890</f>
        <v>0</v>
      </c>
    </row>
    <row r="2892" spans="8:15" ht="16.5" thickBot="1" x14ac:dyDescent="0.3">
      <c r="H2892" s="297" t="s">
        <v>80</v>
      </c>
      <c r="I2892" s="298"/>
      <c r="J2892" s="298"/>
      <c r="K2892" s="298"/>
      <c r="L2892" s="299"/>
      <c r="M2892" s="62">
        <f>SUM(M2882:M2891)</f>
        <v>72228412</v>
      </c>
    </row>
    <row r="2893" spans="8:15" ht="16.5" thickBot="1" x14ac:dyDescent="0.3">
      <c r="H2893" s="300" t="s">
        <v>81</v>
      </c>
      <c r="I2893" s="301"/>
      <c r="J2893" s="301"/>
      <c r="K2893" s="301"/>
      <c r="L2893" s="302"/>
      <c r="M2893" s="63">
        <f>+M2857</f>
        <v>115654097</v>
      </c>
      <c r="N2893" s="64" t="s">
        <v>82</v>
      </c>
      <c r="O2893" s="65"/>
    </row>
    <row r="2894" spans="8:15" ht="16.5" thickBot="1" x14ac:dyDescent="0.3">
      <c r="H2894" s="303" t="s">
        <v>83</v>
      </c>
      <c r="I2894" s="304"/>
      <c r="J2894" s="304"/>
      <c r="K2894" s="304"/>
      <c r="L2894" s="305"/>
      <c r="M2894" s="66">
        <f>SUM(M2892:M2893)</f>
        <v>187882509</v>
      </c>
    </row>
    <row r="2895" spans="8:15" x14ac:dyDescent="0.25">
      <c r="H2895" s="67"/>
      <c r="I2895" s="67"/>
      <c r="J2895" s="67"/>
      <c r="K2895" s="67"/>
      <c r="L2895" s="67"/>
    </row>
    <row r="2896" spans="8:15" x14ac:dyDescent="0.25">
      <c r="H2896" s="41" t="s">
        <v>922</v>
      </c>
    </row>
    <row r="2897" spans="8:14" x14ac:dyDescent="0.25">
      <c r="M2897" s="68"/>
    </row>
    <row r="2898" spans="8:14" x14ac:dyDescent="0.25">
      <c r="H2898" s="40" t="s">
        <v>86</v>
      </c>
      <c r="K2898" s="69"/>
      <c r="M2898" s="68"/>
    </row>
    <row r="2899" spans="8:14" ht="13.5" customHeight="1" thickBot="1" x14ac:dyDescent="0.3"/>
    <row r="2900" spans="8:14" ht="15.75" thickBot="1" x14ac:dyDescent="0.3">
      <c r="H2900" s="306" t="s">
        <v>87</v>
      </c>
      <c r="I2900" s="307"/>
      <c r="J2900" s="307"/>
      <c r="K2900" s="308"/>
      <c r="M2900" s="40" t="s">
        <v>874</v>
      </c>
    </row>
    <row r="2901" spans="8:14" ht="30.75" thickBot="1" x14ac:dyDescent="0.3">
      <c r="H2901" s="70" t="s">
        <v>62</v>
      </c>
      <c r="I2901" s="71" t="s">
        <v>90</v>
      </c>
      <c r="J2901" s="204" t="s">
        <v>91</v>
      </c>
      <c r="K2901" s="73" t="s">
        <v>92</v>
      </c>
    </row>
    <row r="2902" spans="8:14" x14ac:dyDescent="0.25">
      <c r="H2902" s="75">
        <v>719</v>
      </c>
      <c r="I2902" s="76"/>
      <c r="J2902" s="77">
        <f>+K2865</f>
        <v>32020000</v>
      </c>
      <c r="K2902" s="79">
        <f>+I2902+J2902</f>
        <v>32020000</v>
      </c>
    </row>
    <row r="2903" spans="8:14" x14ac:dyDescent="0.25">
      <c r="H2903" s="80">
        <v>721</v>
      </c>
      <c r="I2903" s="81">
        <f>+O2883+O2885+O2887+O2889+O2891</f>
        <v>72228412</v>
      </c>
      <c r="J2903" s="77">
        <f>+K2866</f>
        <v>93779134</v>
      </c>
      <c r="K2903" s="79">
        <f>+I2903+J2903</f>
        <v>166007546</v>
      </c>
    </row>
    <row r="2904" spans="8:14" x14ac:dyDescent="0.25">
      <c r="H2904" s="80">
        <v>722</v>
      </c>
      <c r="I2904" s="81">
        <f>+O2882+O2884+O2886+O2888+O2890</f>
        <v>0</v>
      </c>
      <c r="J2904" s="77">
        <f>+K2867</f>
        <v>5580000</v>
      </c>
      <c r="K2904" s="79">
        <f>+I2904+J2904</f>
        <v>5580000</v>
      </c>
    </row>
    <row r="2905" spans="8:14" ht="15.75" x14ac:dyDescent="0.25">
      <c r="H2905" s="80">
        <v>723</v>
      </c>
      <c r="I2905" s="81"/>
      <c r="J2905" s="77">
        <f>+K2868</f>
        <v>0</v>
      </c>
      <c r="K2905" s="79">
        <f>+I2905+J2905</f>
        <v>0</v>
      </c>
      <c r="M2905" s="109" t="s">
        <v>813</v>
      </c>
      <c r="N2905" s="84"/>
    </row>
    <row r="2906" spans="8:14" ht="16.5" thickBot="1" x14ac:dyDescent="0.3">
      <c r="H2906" s="85" t="s">
        <v>854</v>
      </c>
      <c r="I2906" s="86"/>
      <c r="J2906" s="77" t="e">
        <f>+K2869</f>
        <v>#REF!</v>
      </c>
      <c r="K2906" s="89" t="e">
        <f>+I2906+J2906</f>
        <v>#REF!</v>
      </c>
      <c r="M2906" s="45"/>
    </row>
    <row r="2907" spans="8:14" ht="16.5" thickBot="1" x14ac:dyDescent="0.3">
      <c r="H2907" s="90"/>
      <c r="I2907" s="94">
        <f>SUM(I2902:I2906)</f>
        <v>72228412</v>
      </c>
      <c r="J2907" s="94" t="e">
        <f>SUM(J2902:J2906)</f>
        <v>#REF!</v>
      </c>
      <c r="K2907" s="95" t="e">
        <f>SUM(K2902:K2906)</f>
        <v>#REF!</v>
      </c>
    </row>
    <row r="2908" spans="8:14" ht="16.5" x14ac:dyDescent="0.25">
      <c r="H2908" s="39" t="s">
        <v>46</v>
      </c>
      <c r="I2908" s="40"/>
    </row>
    <row r="2909" spans="8:14" x14ac:dyDescent="0.25">
      <c r="H2909" s="41" t="s">
        <v>47</v>
      </c>
    </row>
    <row r="2910" spans="8:14" x14ac:dyDescent="0.25">
      <c r="H2910" s="41" t="s">
        <v>48</v>
      </c>
    </row>
    <row r="2911" spans="8:14" x14ac:dyDescent="0.25">
      <c r="H2911" s="41" t="s">
        <v>49</v>
      </c>
    </row>
    <row r="2912" spans="8:14" ht="10.5" customHeight="1" x14ac:dyDescent="0.25">
      <c r="H2912" s="40"/>
      <c r="I2912" s="40"/>
    </row>
    <row r="2913" spans="8:15" ht="15.75" x14ac:dyDescent="0.25">
      <c r="H2913" s="188" t="s">
        <v>923</v>
      </c>
      <c r="N2913" s="45"/>
    </row>
    <row r="2914" spans="8:15" ht="15.75" x14ac:dyDescent="0.25">
      <c r="H2914" s="47" t="s">
        <v>704</v>
      </c>
      <c r="N2914" s="47"/>
    </row>
    <row r="2915" spans="8:15" ht="16.5" x14ac:dyDescent="0.25">
      <c r="H2915" s="326" t="s">
        <v>683</v>
      </c>
      <c r="I2915" s="326"/>
      <c r="J2915" s="326"/>
      <c r="K2915" s="326"/>
      <c r="L2915" s="326"/>
      <c r="M2915" s="326"/>
      <c r="N2915" s="326"/>
      <c r="O2915" s="326"/>
    </row>
    <row r="2916" spans="8:15" ht="15.75" thickBot="1" x14ac:dyDescent="0.3"/>
    <row r="2917" spans="8:15" x14ac:dyDescent="0.25">
      <c r="H2917" s="327" t="s">
        <v>56</v>
      </c>
      <c r="I2917" s="322" t="s">
        <v>57</v>
      </c>
      <c r="J2917" s="322" t="s">
        <v>58</v>
      </c>
      <c r="K2917" s="322" t="s">
        <v>7</v>
      </c>
      <c r="L2917" s="322" t="s">
        <v>59</v>
      </c>
      <c r="M2917" s="322" t="s">
        <v>60</v>
      </c>
      <c r="N2917" s="322" t="s">
        <v>61</v>
      </c>
      <c r="O2917" s="324"/>
    </row>
    <row r="2918" spans="8:15" ht="15.75" thickBot="1" x14ac:dyDescent="0.3">
      <c r="H2918" s="328"/>
      <c r="I2918" s="323"/>
      <c r="J2918" s="323"/>
      <c r="K2918" s="323"/>
      <c r="L2918" s="323"/>
      <c r="M2918" s="323"/>
      <c r="N2918" s="51" t="s">
        <v>62</v>
      </c>
      <c r="O2918" s="52" t="s">
        <v>63</v>
      </c>
    </row>
    <row r="2919" spans="8:15" x14ac:dyDescent="0.25">
      <c r="H2919" s="318">
        <v>313</v>
      </c>
      <c r="I2919" s="312">
        <v>42657</v>
      </c>
      <c r="J2919" s="314" t="s">
        <v>798</v>
      </c>
      <c r="K2919" s="316" t="s">
        <v>924</v>
      </c>
      <c r="L2919" s="318" t="s">
        <v>66</v>
      </c>
      <c r="M2919" s="320">
        <v>70000</v>
      </c>
      <c r="N2919" s="53">
        <v>719</v>
      </c>
      <c r="O2919" s="54">
        <v>70000</v>
      </c>
    </row>
    <row r="2920" spans="8:15" ht="15.75" thickBot="1" x14ac:dyDescent="0.3">
      <c r="H2920" s="319"/>
      <c r="I2920" s="313"/>
      <c r="J2920" s="315"/>
      <c r="K2920" s="317"/>
      <c r="L2920" s="319"/>
      <c r="M2920" s="321"/>
      <c r="N2920" s="55">
        <v>721</v>
      </c>
      <c r="O2920" s="56">
        <f>+M2919-O2919</f>
        <v>0</v>
      </c>
    </row>
    <row r="2921" spans="8:15" x14ac:dyDescent="0.25">
      <c r="H2921" s="318">
        <v>314</v>
      </c>
      <c r="I2921" s="312">
        <v>42657</v>
      </c>
      <c r="J2921" s="314" t="s">
        <v>70</v>
      </c>
      <c r="K2921" s="316" t="s">
        <v>925</v>
      </c>
      <c r="L2921" s="318" t="s">
        <v>66</v>
      </c>
      <c r="M2921" s="320">
        <v>30000</v>
      </c>
      <c r="N2921" s="53">
        <v>719</v>
      </c>
      <c r="O2921" s="54">
        <v>30000</v>
      </c>
    </row>
    <row r="2922" spans="8:15" ht="15.75" thickBot="1" x14ac:dyDescent="0.3">
      <c r="H2922" s="319"/>
      <c r="I2922" s="313"/>
      <c r="J2922" s="315"/>
      <c r="K2922" s="317"/>
      <c r="L2922" s="319"/>
      <c r="M2922" s="321"/>
      <c r="N2922" s="55">
        <v>721</v>
      </c>
      <c r="O2922" s="56">
        <f>+M2921-O2921</f>
        <v>0</v>
      </c>
    </row>
    <row r="2923" spans="8:15" x14ac:dyDescent="0.25">
      <c r="H2923" s="318">
        <v>315</v>
      </c>
      <c r="I2923" s="312">
        <v>42657</v>
      </c>
      <c r="J2923" s="314" t="s">
        <v>251</v>
      </c>
      <c r="K2923" s="316" t="s">
        <v>902</v>
      </c>
      <c r="L2923" s="318" t="s">
        <v>66</v>
      </c>
      <c r="M2923" s="320">
        <v>50000</v>
      </c>
      <c r="N2923" s="53">
        <v>719</v>
      </c>
      <c r="O2923" s="54">
        <v>50000</v>
      </c>
    </row>
    <row r="2924" spans="8:15" ht="15.75" thickBot="1" x14ac:dyDescent="0.3">
      <c r="H2924" s="319"/>
      <c r="I2924" s="313"/>
      <c r="J2924" s="315"/>
      <c r="K2924" s="317"/>
      <c r="L2924" s="319"/>
      <c r="M2924" s="321"/>
      <c r="N2924" s="55">
        <v>721</v>
      </c>
      <c r="O2924" s="56">
        <f>+M2923-O2923</f>
        <v>0</v>
      </c>
    </row>
    <row r="2925" spans="8:15" x14ac:dyDescent="0.25">
      <c r="H2925" s="318"/>
      <c r="I2925" s="312"/>
      <c r="J2925" s="314"/>
      <c r="K2925" s="316"/>
      <c r="L2925" s="318"/>
      <c r="M2925" s="320"/>
      <c r="N2925" s="53">
        <v>719</v>
      </c>
      <c r="O2925" s="54">
        <v>0</v>
      </c>
    </row>
    <row r="2926" spans="8:15" ht="14.25" customHeight="1" thickBot="1" x14ac:dyDescent="0.3">
      <c r="H2926" s="319"/>
      <c r="I2926" s="313"/>
      <c r="J2926" s="315"/>
      <c r="K2926" s="317"/>
      <c r="L2926" s="319"/>
      <c r="M2926" s="321"/>
      <c r="N2926" s="55">
        <v>721</v>
      </c>
      <c r="O2926" s="56">
        <f>+M2925-O2925</f>
        <v>0</v>
      </c>
    </row>
    <row r="2927" spans="8:15" ht="13.5" customHeight="1" x14ac:dyDescent="0.25">
      <c r="H2927" s="318"/>
      <c r="I2927" s="312"/>
      <c r="J2927" s="314"/>
      <c r="K2927" s="316"/>
      <c r="L2927" s="318"/>
      <c r="M2927" s="320"/>
      <c r="N2927" s="53">
        <v>719</v>
      </c>
      <c r="O2927" s="54"/>
    </row>
    <row r="2928" spans="8:15" ht="12.75" customHeight="1" thickBot="1" x14ac:dyDescent="0.3">
      <c r="H2928" s="319"/>
      <c r="I2928" s="313"/>
      <c r="J2928" s="315"/>
      <c r="K2928" s="317"/>
      <c r="L2928" s="319"/>
      <c r="M2928" s="321"/>
      <c r="N2928" s="55">
        <v>721</v>
      </c>
      <c r="O2928" s="56">
        <f>+M2927-O2927</f>
        <v>0</v>
      </c>
    </row>
    <row r="2929" spans="8:15" ht="16.5" thickBot="1" x14ac:dyDescent="0.3">
      <c r="H2929" s="297" t="s">
        <v>80</v>
      </c>
      <c r="I2929" s="298"/>
      <c r="J2929" s="298"/>
      <c r="K2929" s="298"/>
      <c r="L2929" s="299"/>
      <c r="M2929" s="62">
        <f>SUM(M2919:M2928)</f>
        <v>150000</v>
      </c>
    </row>
    <row r="2930" spans="8:15" ht="16.5" thickBot="1" x14ac:dyDescent="0.3">
      <c r="H2930" s="300" t="s">
        <v>81</v>
      </c>
      <c r="I2930" s="301"/>
      <c r="J2930" s="301"/>
      <c r="K2930" s="301"/>
      <c r="L2930" s="302"/>
      <c r="M2930" s="63">
        <f>+M2894</f>
        <v>187882509</v>
      </c>
      <c r="N2930" s="64" t="s">
        <v>82</v>
      </c>
      <c r="O2930" s="65">
        <f>76+80+291</f>
        <v>447</v>
      </c>
    </row>
    <row r="2931" spans="8:15" ht="16.5" thickBot="1" x14ac:dyDescent="0.3">
      <c r="H2931" s="303" t="s">
        <v>83</v>
      </c>
      <c r="I2931" s="304"/>
      <c r="J2931" s="304"/>
      <c r="K2931" s="304"/>
      <c r="L2931" s="305"/>
      <c r="M2931" s="66">
        <f>SUM(M2929:M2930)</f>
        <v>188032509</v>
      </c>
    </row>
    <row r="2932" spans="8:15" x14ac:dyDescent="0.25">
      <c r="H2932" s="67"/>
      <c r="I2932" s="67"/>
      <c r="J2932" s="67"/>
      <c r="K2932" s="67"/>
      <c r="L2932" s="67"/>
    </row>
    <row r="2933" spans="8:15" x14ac:dyDescent="0.25">
      <c r="H2933" s="41" t="s">
        <v>926</v>
      </c>
    </row>
    <row r="2934" spans="8:15" x14ac:dyDescent="0.25">
      <c r="M2934" s="68"/>
    </row>
    <row r="2935" spans="8:15" x14ac:dyDescent="0.25">
      <c r="H2935" s="40" t="s">
        <v>86</v>
      </c>
      <c r="K2935" s="69"/>
      <c r="M2935" s="68"/>
    </row>
    <row r="2936" spans="8:15" ht="12.75" customHeight="1" thickBot="1" x14ac:dyDescent="0.3"/>
    <row r="2937" spans="8:15" ht="15.75" thickBot="1" x14ac:dyDescent="0.3">
      <c r="H2937" s="306" t="s">
        <v>87</v>
      </c>
      <c r="I2937" s="307"/>
      <c r="J2937" s="307"/>
      <c r="K2937" s="308"/>
      <c r="M2937" s="40" t="s">
        <v>874</v>
      </c>
    </row>
    <row r="2938" spans="8:15" ht="30.75" thickBot="1" x14ac:dyDescent="0.3">
      <c r="H2938" s="70" t="s">
        <v>62</v>
      </c>
      <c r="I2938" s="71" t="s">
        <v>90</v>
      </c>
      <c r="J2938" s="204" t="s">
        <v>91</v>
      </c>
      <c r="K2938" s="73" t="s">
        <v>92</v>
      </c>
    </row>
    <row r="2939" spans="8:15" x14ac:dyDescent="0.25">
      <c r="H2939" s="75">
        <v>719</v>
      </c>
      <c r="I2939" s="76">
        <f>+O2919+O2921+O2923+O2925</f>
        <v>150000</v>
      </c>
      <c r="J2939" s="77">
        <f>+K2902</f>
        <v>32020000</v>
      </c>
      <c r="K2939" s="79">
        <f>+I2939+J2939</f>
        <v>32170000</v>
      </c>
    </row>
    <row r="2940" spans="8:15" x14ac:dyDescent="0.25">
      <c r="H2940" s="80">
        <v>721</v>
      </c>
      <c r="I2940" s="81">
        <f>+O2920+O2922+O2924+O2926+O2928</f>
        <v>0</v>
      </c>
      <c r="J2940" s="77">
        <f>+K2903</f>
        <v>166007546</v>
      </c>
      <c r="K2940" s="79">
        <f>+I2940+J2940</f>
        <v>166007546</v>
      </c>
    </row>
    <row r="2941" spans="8:15" x14ac:dyDescent="0.25">
      <c r="H2941" s="80">
        <v>722</v>
      </c>
      <c r="I2941" s="81"/>
      <c r="J2941" s="77">
        <f>+K2904</f>
        <v>5580000</v>
      </c>
      <c r="K2941" s="79">
        <f>+I2941+J2941</f>
        <v>5580000</v>
      </c>
    </row>
    <row r="2942" spans="8:15" ht="15.75" x14ac:dyDescent="0.25">
      <c r="H2942" s="80">
        <v>723</v>
      </c>
      <c r="I2942" s="81"/>
      <c r="J2942" s="77">
        <f>+K2905</f>
        <v>0</v>
      </c>
      <c r="K2942" s="79">
        <f>+I2942+J2942</f>
        <v>0</v>
      </c>
      <c r="M2942" s="109" t="s">
        <v>813</v>
      </c>
      <c r="N2942" s="84"/>
    </row>
    <row r="2943" spans="8:15" ht="16.5" thickBot="1" x14ac:dyDescent="0.3">
      <c r="H2943" s="85" t="s">
        <v>854</v>
      </c>
      <c r="I2943" s="86"/>
      <c r="J2943" s="77" t="e">
        <f>+K2906</f>
        <v>#REF!</v>
      </c>
      <c r="K2943" s="89" t="e">
        <f>+I2943+J2943</f>
        <v>#REF!</v>
      </c>
      <c r="M2943" s="45"/>
    </row>
    <row r="2944" spans="8:15" ht="16.5" thickBot="1" x14ac:dyDescent="0.3">
      <c r="H2944" s="90"/>
      <c r="I2944" s="94">
        <f>SUM(I2939:I2943)</f>
        <v>150000</v>
      </c>
      <c r="J2944" s="94" t="e">
        <f>SUM(J2939:J2943)</f>
        <v>#REF!</v>
      </c>
      <c r="K2944" s="95" t="e">
        <f>SUM(K2939:K2943)</f>
        <v>#REF!</v>
      </c>
    </row>
    <row r="2945" spans="8:15" ht="16.5" x14ac:dyDescent="0.25">
      <c r="H2945" s="39" t="s">
        <v>46</v>
      </c>
      <c r="I2945" s="40"/>
    </row>
    <row r="2946" spans="8:15" x14ac:dyDescent="0.25">
      <c r="H2946" s="41" t="s">
        <v>47</v>
      </c>
    </row>
    <row r="2947" spans="8:15" x14ac:dyDescent="0.25">
      <c r="H2947" s="41" t="s">
        <v>48</v>
      </c>
    </row>
    <row r="2948" spans="8:15" x14ac:dyDescent="0.25">
      <c r="H2948" s="41" t="s">
        <v>49</v>
      </c>
    </row>
    <row r="2949" spans="8:15" ht="9.75" customHeight="1" x14ac:dyDescent="0.25">
      <c r="H2949" s="40"/>
      <c r="I2949" s="40"/>
    </row>
    <row r="2950" spans="8:15" ht="15.75" x14ac:dyDescent="0.25">
      <c r="H2950" s="188" t="s">
        <v>927</v>
      </c>
      <c r="N2950" s="45"/>
    </row>
    <row r="2951" spans="8:15" ht="15.75" x14ac:dyDescent="0.25">
      <c r="H2951" s="47" t="s">
        <v>704</v>
      </c>
      <c r="N2951" s="47"/>
    </row>
    <row r="2952" spans="8:15" ht="16.5" x14ac:dyDescent="0.25">
      <c r="H2952" s="326" t="s">
        <v>683</v>
      </c>
      <c r="I2952" s="326"/>
      <c r="J2952" s="326"/>
      <c r="K2952" s="326"/>
      <c r="L2952" s="326"/>
      <c r="M2952" s="326"/>
      <c r="N2952" s="326"/>
      <c r="O2952" s="326"/>
    </row>
    <row r="2953" spans="8:15" ht="15.75" thickBot="1" x14ac:dyDescent="0.3"/>
    <row r="2954" spans="8:15" x14ac:dyDescent="0.25">
      <c r="H2954" s="327" t="s">
        <v>56</v>
      </c>
      <c r="I2954" s="322" t="s">
        <v>57</v>
      </c>
      <c r="J2954" s="322" t="s">
        <v>58</v>
      </c>
      <c r="K2954" s="322" t="s">
        <v>7</v>
      </c>
      <c r="L2954" s="322" t="s">
        <v>59</v>
      </c>
      <c r="M2954" s="322" t="s">
        <v>60</v>
      </c>
      <c r="N2954" s="322" t="s">
        <v>61</v>
      </c>
      <c r="O2954" s="324"/>
    </row>
    <row r="2955" spans="8:15" ht="15.75" thickBot="1" x14ac:dyDescent="0.3">
      <c r="H2955" s="328"/>
      <c r="I2955" s="323"/>
      <c r="J2955" s="323"/>
      <c r="K2955" s="323"/>
      <c r="L2955" s="323"/>
      <c r="M2955" s="323"/>
      <c r="N2955" s="51" t="s">
        <v>62</v>
      </c>
      <c r="O2955" s="52" t="s">
        <v>63</v>
      </c>
    </row>
    <row r="2956" spans="8:15" x14ac:dyDescent="0.25">
      <c r="H2956" s="318">
        <v>316</v>
      </c>
      <c r="I2956" s="312">
        <v>42684</v>
      </c>
      <c r="J2956" s="314" t="s">
        <v>221</v>
      </c>
      <c r="K2956" s="316" t="s">
        <v>928</v>
      </c>
      <c r="L2956" s="318" t="s">
        <v>5</v>
      </c>
      <c r="M2956" s="320">
        <v>130000</v>
      </c>
      <c r="N2956" s="53">
        <v>719</v>
      </c>
      <c r="O2956" s="54">
        <v>100000</v>
      </c>
    </row>
    <row r="2957" spans="8:15" ht="15.75" thickBot="1" x14ac:dyDescent="0.3">
      <c r="H2957" s="319"/>
      <c r="I2957" s="313"/>
      <c r="J2957" s="315"/>
      <c r="K2957" s="317"/>
      <c r="L2957" s="319"/>
      <c r="M2957" s="321"/>
      <c r="N2957" s="55">
        <v>721</v>
      </c>
      <c r="O2957" s="56">
        <f>+M2956-O2956</f>
        <v>30000</v>
      </c>
    </row>
    <row r="2958" spans="8:15" ht="15" customHeight="1" x14ac:dyDescent="0.25">
      <c r="H2958" s="318">
        <v>317</v>
      </c>
      <c r="I2958" s="312">
        <v>42684</v>
      </c>
      <c r="J2958" s="314" t="s">
        <v>70</v>
      </c>
      <c r="K2958" s="316" t="s">
        <v>929</v>
      </c>
      <c r="L2958" s="318" t="s">
        <v>5</v>
      </c>
      <c r="M2958" s="320">
        <v>559000</v>
      </c>
      <c r="N2958" s="53">
        <v>719</v>
      </c>
      <c r="O2958" s="54">
        <v>430000</v>
      </c>
    </row>
    <row r="2959" spans="8:15" ht="15.75" customHeight="1" thickBot="1" x14ac:dyDescent="0.3">
      <c r="H2959" s="319"/>
      <c r="I2959" s="313"/>
      <c r="J2959" s="315"/>
      <c r="K2959" s="317"/>
      <c r="L2959" s="319"/>
      <c r="M2959" s="321"/>
      <c r="N2959" s="55">
        <v>721</v>
      </c>
      <c r="O2959" s="56">
        <f>+M2958-O2958</f>
        <v>129000</v>
      </c>
    </row>
    <row r="2960" spans="8:15" ht="15" customHeight="1" x14ac:dyDescent="0.25">
      <c r="H2960" s="318">
        <v>318</v>
      </c>
      <c r="I2960" s="312">
        <v>42684</v>
      </c>
      <c r="J2960" s="314" t="s">
        <v>231</v>
      </c>
      <c r="K2960" s="316" t="s">
        <v>930</v>
      </c>
      <c r="L2960" s="318" t="s">
        <v>5</v>
      </c>
      <c r="M2960" s="320">
        <v>104000</v>
      </c>
      <c r="N2960" s="53">
        <v>719</v>
      </c>
      <c r="O2960" s="54">
        <v>80000</v>
      </c>
    </row>
    <row r="2961" spans="8:15" ht="15.75" customHeight="1" thickBot="1" x14ac:dyDescent="0.3">
      <c r="H2961" s="319"/>
      <c r="I2961" s="313"/>
      <c r="J2961" s="315"/>
      <c r="K2961" s="317"/>
      <c r="L2961" s="319"/>
      <c r="M2961" s="321"/>
      <c r="N2961" s="55">
        <v>721</v>
      </c>
      <c r="O2961" s="56">
        <f>+M2960-O2960</f>
        <v>24000</v>
      </c>
    </row>
    <row r="2962" spans="8:15" ht="15" customHeight="1" x14ac:dyDescent="0.25">
      <c r="H2962" s="318">
        <v>319</v>
      </c>
      <c r="I2962" s="312">
        <v>42684</v>
      </c>
      <c r="J2962" s="314" t="s">
        <v>798</v>
      </c>
      <c r="K2962" s="316" t="s">
        <v>929</v>
      </c>
      <c r="L2962" s="318" t="s">
        <v>5</v>
      </c>
      <c r="M2962" s="320">
        <v>1105000</v>
      </c>
      <c r="N2962" s="53">
        <v>719</v>
      </c>
      <c r="O2962" s="54">
        <v>850000</v>
      </c>
    </row>
    <row r="2963" spans="8:15" ht="15.75" customHeight="1" thickBot="1" x14ac:dyDescent="0.3">
      <c r="H2963" s="319"/>
      <c r="I2963" s="313"/>
      <c r="J2963" s="315"/>
      <c r="K2963" s="317"/>
      <c r="L2963" s="319"/>
      <c r="M2963" s="321"/>
      <c r="N2963" s="55">
        <v>721</v>
      </c>
      <c r="O2963" s="56">
        <f>+M2962-O2962</f>
        <v>255000</v>
      </c>
    </row>
    <row r="2964" spans="8:15" x14ac:dyDescent="0.25">
      <c r="H2964" s="318"/>
      <c r="I2964" s="312"/>
      <c r="J2964" s="314"/>
      <c r="K2964" s="316"/>
      <c r="L2964" s="318"/>
      <c r="M2964" s="320"/>
      <c r="N2964" s="53">
        <v>719</v>
      </c>
      <c r="O2964" s="54"/>
    </row>
    <row r="2965" spans="8:15" ht="15.75" thickBot="1" x14ac:dyDescent="0.3">
      <c r="H2965" s="319"/>
      <c r="I2965" s="313"/>
      <c r="J2965" s="315"/>
      <c r="K2965" s="317"/>
      <c r="L2965" s="319"/>
      <c r="M2965" s="321"/>
      <c r="N2965" s="55">
        <v>721</v>
      </c>
      <c r="O2965" s="56">
        <f>+M2964-O2964</f>
        <v>0</v>
      </c>
    </row>
    <row r="2966" spans="8:15" ht="16.5" thickBot="1" x14ac:dyDescent="0.3">
      <c r="H2966" s="297" t="s">
        <v>80</v>
      </c>
      <c r="I2966" s="298"/>
      <c r="J2966" s="298"/>
      <c r="K2966" s="298"/>
      <c r="L2966" s="299"/>
      <c r="M2966" s="62">
        <f>SUM(M2956:M2965)</f>
        <v>1898000</v>
      </c>
    </row>
    <row r="2967" spans="8:15" ht="16.5" thickBot="1" x14ac:dyDescent="0.3">
      <c r="H2967" s="300" t="s">
        <v>81</v>
      </c>
      <c r="I2967" s="301"/>
      <c r="J2967" s="301"/>
      <c r="K2967" s="301"/>
      <c r="L2967" s="302"/>
      <c r="M2967" s="63">
        <f>+M2931</f>
        <v>188032509</v>
      </c>
      <c r="N2967" s="64" t="s">
        <v>82</v>
      </c>
      <c r="O2967" s="65">
        <f>1061+35+841+56</f>
        <v>1993</v>
      </c>
    </row>
    <row r="2968" spans="8:15" ht="16.5" thickBot="1" x14ac:dyDescent="0.3">
      <c r="H2968" s="303" t="s">
        <v>83</v>
      </c>
      <c r="I2968" s="304"/>
      <c r="J2968" s="304"/>
      <c r="K2968" s="304"/>
      <c r="L2968" s="305"/>
      <c r="M2968" s="66">
        <f>SUM(M2966:M2967)</f>
        <v>189930509</v>
      </c>
    </row>
    <row r="2969" spans="8:15" x14ac:dyDescent="0.25">
      <c r="H2969" s="67"/>
      <c r="I2969" s="67"/>
      <c r="J2969" s="67"/>
      <c r="K2969" s="67"/>
      <c r="L2969" s="67"/>
    </row>
    <row r="2970" spans="8:15" x14ac:dyDescent="0.25">
      <c r="H2970" s="41" t="s">
        <v>931</v>
      </c>
    </row>
    <row r="2971" spans="8:15" x14ac:dyDescent="0.25">
      <c r="M2971" s="68"/>
    </row>
    <row r="2972" spans="8:15" x14ac:dyDescent="0.25">
      <c r="H2972" s="40" t="s">
        <v>86</v>
      </c>
      <c r="K2972" s="69"/>
      <c r="M2972" s="68"/>
    </row>
    <row r="2973" spans="8:15" ht="10.5" customHeight="1" thickBot="1" x14ac:dyDescent="0.3"/>
    <row r="2974" spans="8:15" ht="15.75" thickBot="1" x14ac:dyDescent="0.3">
      <c r="H2974" s="306" t="s">
        <v>87</v>
      </c>
      <c r="I2974" s="307"/>
      <c r="J2974" s="307"/>
      <c r="K2974" s="308"/>
      <c r="M2974" s="40" t="s">
        <v>874</v>
      </c>
    </row>
    <row r="2975" spans="8:15" ht="30.75" thickBot="1" x14ac:dyDescent="0.3">
      <c r="H2975" s="70" t="s">
        <v>62</v>
      </c>
      <c r="I2975" s="71" t="s">
        <v>90</v>
      </c>
      <c r="J2975" s="204" t="s">
        <v>91</v>
      </c>
      <c r="K2975" s="73" t="s">
        <v>92</v>
      </c>
    </row>
    <row r="2976" spans="8:15" x14ac:dyDescent="0.25">
      <c r="H2976" s="75">
        <v>719</v>
      </c>
      <c r="I2976" s="76">
        <f>+O2956+O2958+O2960+O2962</f>
        <v>1460000</v>
      </c>
      <c r="J2976" s="77">
        <f>+K2939</f>
        <v>32170000</v>
      </c>
      <c r="K2976" s="79">
        <f>+I2976+J2976</f>
        <v>33630000</v>
      </c>
    </row>
    <row r="2977" spans="8:15" x14ac:dyDescent="0.25">
      <c r="H2977" s="80">
        <v>721</v>
      </c>
      <c r="I2977" s="81">
        <f>+O2957+O2959+O2961+O2963+O2965</f>
        <v>438000</v>
      </c>
      <c r="J2977" s="77">
        <f>+K2940</f>
        <v>166007546</v>
      </c>
      <c r="K2977" s="79">
        <f>+I2977+J2977</f>
        <v>166445546</v>
      </c>
    </row>
    <row r="2978" spans="8:15" x14ac:dyDescent="0.25">
      <c r="H2978" s="80">
        <v>722</v>
      </c>
      <c r="I2978" s="81"/>
      <c r="J2978" s="77">
        <f>+K2941</f>
        <v>5580000</v>
      </c>
      <c r="K2978" s="79">
        <f>+I2978+J2978</f>
        <v>5580000</v>
      </c>
    </row>
    <row r="2979" spans="8:15" ht="15.75" x14ac:dyDescent="0.25">
      <c r="H2979" s="80">
        <v>723</v>
      </c>
      <c r="I2979" s="81"/>
      <c r="J2979" s="77">
        <f>+K2942</f>
        <v>0</v>
      </c>
      <c r="K2979" s="79">
        <f>+I2979+J2979</f>
        <v>0</v>
      </c>
      <c r="M2979" s="109" t="s">
        <v>813</v>
      </c>
      <c r="N2979" s="84"/>
    </row>
    <row r="2980" spans="8:15" ht="16.5" thickBot="1" x14ac:dyDescent="0.3">
      <c r="H2980" s="85" t="s">
        <v>854</v>
      </c>
      <c r="I2980" s="86"/>
      <c r="J2980" s="77" t="e">
        <f>+K2943</f>
        <v>#REF!</v>
      </c>
      <c r="K2980" s="89" t="e">
        <f>+I2980+J2980</f>
        <v>#REF!</v>
      </c>
      <c r="M2980" s="45"/>
    </row>
    <row r="2981" spans="8:15" ht="16.5" thickBot="1" x14ac:dyDescent="0.3">
      <c r="H2981" s="90"/>
      <c r="I2981" s="94">
        <f>SUM(I2976:I2980)</f>
        <v>1898000</v>
      </c>
      <c r="J2981" s="94" t="e">
        <f>SUM(J2976:J2980)</f>
        <v>#REF!</v>
      </c>
      <c r="K2981" s="95" t="e">
        <f>SUM(K2976:K2980)</f>
        <v>#REF!</v>
      </c>
    </row>
    <row r="2982" spans="8:15" ht="16.5" x14ac:dyDescent="0.25">
      <c r="H2982" s="39" t="s">
        <v>46</v>
      </c>
      <c r="I2982" s="40"/>
    </row>
    <row r="2983" spans="8:15" x14ac:dyDescent="0.25">
      <c r="H2983" s="41" t="s">
        <v>47</v>
      </c>
    </row>
    <row r="2984" spans="8:15" x14ac:dyDescent="0.25">
      <c r="H2984" s="41" t="s">
        <v>48</v>
      </c>
    </row>
    <row r="2985" spans="8:15" x14ac:dyDescent="0.25">
      <c r="H2985" s="41" t="s">
        <v>49</v>
      </c>
    </row>
    <row r="2986" spans="8:15" ht="12" customHeight="1" x14ac:dyDescent="0.25">
      <c r="H2986" s="40"/>
      <c r="I2986" s="40"/>
    </row>
    <row r="2987" spans="8:15" ht="15.75" x14ac:dyDescent="0.25">
      <c r="H2987" s="188" t="s">
        <v>932</v>
      </c>
      <c r="N2987" s="45"/>
    </row>
    <row r="2988" spans="8:15" ht="15.75" x14ac:dyDescent="0.25">
      <c r="H2988" s="47" t="s">
        <v>704</v>
      </c>
      <c r="N2988" s="47"/>
    </row>
    <row r="2989" spans="8:15" ht="16.5" x14ac:dyDescent="0.25">
      <c r="H2989" s="326" t="s">
        <v>683</v>
      </c>
      <c r="I2989" s="326"/>
      <c r="J2989" s="326"/>
      <c r="K2989" s="326"/>
      <c r="L2989" s="326"/>
      <c r="M2989" s="326"/>
      <c r="N2989" s="326"/>
      <c r="O2989" s="326"/>
    </row>
    <row r="2990" spans="8:15" ht="15.75" thickBot="1" x14ac:dyDescent="0.3"/>
    <row r="2991" spans="8:15" x14ac:dyDescent="0.25">
      <c r="H2991" s="327" t="s">
        <v>56</v>
      </c>
      <c r="I2991" s="322" t="s">
        <v>57</v>
      </c>
      <c r="J2991" s="322" t="s">
        <v>58</v>
      </c>
      <c r="K2991" s="322" t="s">
        <v>7</v>
      </c>
      <c r="L2991" s="322" t="s">
        <v>59</v>
      </c>
      <c r="M2991" s="322" t="s">
        <v>60</v>
      </c>
      <c r="N2991" s="322" t="s">
        <v>61</v>
      </c>
      <c r="O2991" s="324"/>
    </row>
    <row r="2992" spans="8:15" ht="15.75" thickBot="1" x14ac:dyDescent="0.3">
      <c r="H2992" s="328"/>
      <c r="I2992" s="323"/>
      <c r="J2992" s="323"/>
      <c r="K2992" s="323"/>
      <c r="L2992" s="323"/>
      <c r="M2992" s="323"/>
      <c r="N2992" s="51" t="s">
        <v>62</v>
      </c>
      <c r="O2992" s="52" t="s">
        <v>63</v>
      </c>
    </row>
    <row r="2993" spans="8:15" x14ac:dyDescent="0.25">
      <c r="H2993" s="318">
        <v>320</v>
      </c>
      <c r="I2993" s="312">
        <v>42684</v>
      </c>
      <c r="J2993" s="314" t="s">
        <v>221</v>
      </c>
      <c r="K2993" s="316" t="s">
        <v>933</v>
      </c>
      <c r="L2993" s="318" t="s">
        <v>5</v>
      </c>
      <c r="M2993" s="320">
        <v>52000</v>
      </c>
      <c r="N2993" s="53">
        <v>719</v>
      </c>
      <c r="O2993" s="54">
        <v>40000</v>
      </c>
    </row>
    <row r="2994" spans="8:15" ht="15.75" thickBot="1" x14ac:dyDescent="0.3">
      <c r="H2994" s="319"/>
      <c r="I2994" s="313"/>
      <c r="J2994" s="315"/>
      <c r="K2994" s="317"/>
      <c r="L2994" s="319"/>
      <c r="M2994" s="321"/>
      <c r="N2994" s="55">
        <v>721</v>
      </c>
      <c r="O2994" s="56">
        <f>+M2993-O2993</f>
        <v>12000</v>
      </c>
    </row>
    <row r="2995" spans="8:15" x14ac:dyDescent="0.25">
      <c r="H2995" s="318">
        <v>321</v>
      </c>
      <c r="I2995" s="312">
        <v>42684</v>
      </c>
      <c r="J2995" s="314" t="s">
        <v>70</v>
      </c>
      <c r="K2995" s="316" t="s">
        <v>934</v>
      </c>
      <c r="L2995" s="318" t="s">
        <v>5</v>
      </c>
      <c r="M2995" s="320">
        <v>442000</v>
      </c>
      <c r="N2995" s="53">
        <v>719</v>
      </c>
      <c r="O2995" s="54">
        <v>340000</v>
      </c>
    </row>
    <row r="2996" spans="8:15" ht="15.75" thickBot="1" x14ac:dyDescent="0.3">
      <c r="H2996" s="319"/>
      <c r="I2996" s="313"/>
      <c r="J2996" s="315"/>
      <c r="K2996" s="317"/>
      <c r="L2996" s="319"/>
      <c r="M2996" s="321"/>
      <c r="N2996" s="55">
        <v>721</v>
      </c>
      <c r="O2996" s="56">
        <f>+M2995-O2995</f>
        <v>102000</v>
      </c>
    </row>
    <row r="2997" spans="8:15" x14ac:dyDescent="0.25">
      <c r="H2997" s="318">
        <v>322</v>
      </c>
      <c r="I2997" s="312">
        <v>42684</v>
      </c>
      <c r="J2997" s="314" t="s">
        <v>231</v>
      </c>
      <c r="K2997" s="316" t="s">
        <v>935</v>
      </c>
      <c r="L2997" s="318" t="s">
        <v>5</v>
      </c>
      <c r="M2997" s="320">
        <v>104000</v>
      </c>
      <c r="N2997" s="53">
        <v>719</v>
      </c>
      <c r="O2997" s="54">
        <v>80000</v>
      </c>
    </row>
    <row r="2998" spans="8:15" ht="15.75" thickBot="1" x14ac:dyDescent="0.3">
      <c r="H2998" s="319"/>
      <c r="I2998" s="313"/>
      <c r="J2998" s="315"/>
      <c r="K2998" s="317"/>
      <c r="L2998" s="319"/>
      <c r="M2998" s="321"/>
      <c r="N2998" s="55">
        <v>721</v>
      </c>
      <c r="O2998" s="56">
        <f>+M2997-O2997</f>
        <v>24000</v>
      </c>
    </row>
    <row r="2999" spans="8:15" x14ac:dyDescent="0.25">
      <c r="H2999" s="318">
        <v>323</v>
      </c>
      <c r="I2999" s="312">
        <v>42684</v>
      </c>
      <c r="J2999" s="314" t="s">
        <v>798</v>
      </c>
      <c r="K2999" s="316" t="s">
        <v>934</v>
      </c>
      <c r="L2999" s="318" t="s">
        <v>5</v>
      </c>
      <c r="M2999" s="320">
        <v>1053000</v>
      </c>
      <c r="N2999" s="53">
        <v>719</v>
      </c>
      <c r="O2999" s="54">
        <v>810000</v>
      </c>
    </row>
    <row r="3000" spans="8:15" ht="15.75" thickBot="1" x14ac:dyDescent="0.3">
      <c r="H3000" s="319"/>
      <c r="I3000" s="313"/>
      <c r="J3000" s="315"/>
      <c r="K3000" s="317"/>
      <c r="L3000" s="319"/>
      <c r="M3000" s="321"/>
      <c r="N3000" s="55">
        <v>721</v>
      </c>
      <c r="O3000" s="56">
        <f>+M2999-O2999</f>
        <v>243000</v>
      </c>
    </row>
    <row r="3001" spans="8:15" x14ac:dyDescent="0.25">
      <c r="H3001" s="318"/>
      <c r="I3001" s="312"/>
      <c r="J3001" s="314"/>
      <c r="K3001" s="316"/>
      <c r="L3001" s="318"/>
      <c r="M3001" s="320"/>
      <c r="N3001" s="53">
        <v>719</v>
      </c>
      <c r="O3001" s="54"/>
    </row>
    <row r="3002" spans="8:15" ht="15.75" thickBot="1" x14ac:dyDescent="0.3">
      <c r="H3002" s="319"/>
      <c r="I3002" s="313"/>
      <c r="J3002" s="315"/>
      <c r="K3002" s="317"/>
      <c r="L3002" s="319"/>
      <c r="M3002" s="321"/>
      <c r="N3002" s="55">
        <v>721</v>
      </c>
      <c r="O3002" s="56">
        <f>+M3001-O3001</f>
        <v>0</v>
      </c>
    </row>
    <row r="3003" spans="8:15" ht="16.5" thickBot="1" x14ac:dyDescent="0.3">
      <c r="H3003" s="297" t="s">
        <v>80</v>
      </c>
      <c r="I3003" s="298"/>
      <c r="J3003" s="298"/>
      <c r="K3003" s="298"/>
      <c r="L3003" s="299"/>
      <c r="M3003" s="62">
        <f>SUM(M2993:M3002)</f>
        <v>1651000</v>
      </c>
    </row>
    <row r="3004" spans="8:15" ht="16.5" thickBot="1" x14ac:dyDescent="0.3">
      <c r="H3004" s="300" t="s">
        <v>81</v>
      </c>
      <c r="I3004" s="301"/>
      <c r="J3004" s="301"/>
      <c r="K3004" s="301"/>
      <c r="L3004" s="302"/>
      <c r="M3004" s="63">
        <f>+M2968</f>
        <v>189930509</v>
      </c>
      <c r="N3004" s="64" t="s">
        <v>82</v>
      </c>
      <c r="O3004" s="65">
        <f>1174+29+720+29</f>
        <v>1952</v>
      </c>
    </row>
    <row r="3005" spans="8:15" ht="16.5" thickBot="1" x14ac:dyDescent="0.3">
      <c r="H3005" s="303" t="s">
        <v>83</v>
      </c>
      <c r="I3005" s="304"/>
      <c r="J3005" s="304"/>
      <c r="K3005" s="304"/>
      <c r="L3005" s="305"/>
      <c r="M3005" s="66">
        <f>SUM(M3003:M3004)</f>
        <v>191581509</v>
      </c>
    </row>
    <row r="3006" spans="8:15" ht="11.25" customHeight="1" x14ac:dyDescent="0.25">
      <c r="H3006" s="67"/>
      <c r="I3006" s="67"/>
      <c r="J3006" s="67"/>
      <c r="K3006" s="67"/>
      <c r="L3006" s="67"/>
    </row>
    <row r="3007" spans="8:15" x14ac:dyDescent="0.25">
      <c r="H3007" s="41" t="s">
        <v>936</v>
      </c>
    </row>
    <row r="3008" spans="8:15" x14ac:dyDescent="0.25">
      <c r="M3008" s="68"/>
    </row>
    <row r="3009" spans="8:14" x14ac:dyDescent="0.25">
      <c r="H3009" s="40" t="s">
        <v>86</v>
      </c>
      <c r="K3009" s="69"/>
      <c r="M3009" s="68"/>
    </row>
    <row r="3010" spans="8:14" ht="14.25" customHeight="1" thickBot="1" x14ac:dyDescent="0.3"/>
    <row r="3011" spans="8:14" ht="15.75" thickBot="1" x14ac:dyDescent="0.3">
      <c r="H3011" s="306" t="s">
        <v>87</v>
      </c>
      <c r="I3011" s="307"/>
      <c r="J3011" s="307"/>
      <c r="K3011" s="308"/>
      <c r="M3011" s="40" t="s">
        <v>874</v>
      </c>
    </row>
    <row r="3012" spans="8:14" ht="30.75" thickBot="1" x14ac:dyDescent="0.3">
      <c r="H3012" s="70" t="s">
        <v>62</v>
      </c>
      <c r="I3012" s="71" t="s">
        <v>90</v>
      </c>
      <c r="J3012" s="204" t="s">
        <v>91</v>
      </c>
      <c r="K3012" s="73" t="s">
        <v>92</v>
      </c>
    </row>
    <row r="3013" spans="8:14" x14ac:dyDescent="0.25">
      <c r="H3013" s="75">
        <v>719</v>
      </c>
      <c r="I3013" s="76">
        <f>+O2993+O2995+O2997+O2999</f>
        <v>1270000</v>
      </c>
      <c r="J3013" s="77">
        <f>+K2976</f>
        <v>33630000</v>
      </c>
      <c r="K3013" s="79">
        <f>+I3013+J3013</f>
        <v>34900000</v>
      </c>
    </row>
    <row r="3014" spans="8:14" x14ac:dyDescent="0.25">
      <c r="H3014" s="80">
        <v>721</v>
      </c>
      <c r="I3014" s="81">
        <f>+O2994+O2996+O2998+O3000+O3002</f>
        <v>381000</v>
      </c>
      <c r="J3014" s="77">
        <f>+K2977</f>
        <v>166445546</v>
      </c>
      <c r="K3014" s="79">
        <f>+I3014+J3014</f>
        <v>166826546</v>
      </c>
    </row>
    <row r="3015" spans="8:14" x14ac:dyDescent="0.25">
      <c r="H3015" s="80">
        <v>722</v>
      </c>
      <c r="I3015" s="81"/>
      <c r="J3015" s="77">
        <f>+K2978</f>
        <v>5580000</v>
      </c>
      <c r="K3015" s="79">
        <f>+I3015+J3015</f>
        <v>5580000</v>
      </c>
    </row>
    <row r="3016" spans="8:14" ht="15.75" x14ac:dyDescent="0.25">
      <c r="H3016" s="80">
        <v>723</v>
      </c>
      <c r="I3016" s="81"/>
      <c r="J3016" s="77">
        <f>+K2979</f>
        <v>0</v>
      </c>
      <c r="K3016" s="79">
        <f>+I3016+J3016</f>
        <v>0</v>
      </c>
      <c r="M3016" s="109" t="s">
        <v>813</v>
      </c>
      <c r="N3016" s="84"/>
    </row>
    <row r="3017" spans="8:14" ht="16.5" thickBot="1" x14ac:dyDescent="0.3">
      <c r="H3017" s="85" t="s">
        <v>854</v>
      </c>
      <c r="I3017" s="86"/>
      <c r="J3017" s="77" t="e">
        <f>+K2980</f>
        <v>#REF!</v>
      </c>
      <c r="K3017" s="89" t="e">
        <f>+I3017+J3017</f>
        <v>#REF!</v>
      </c>
      <c r="M3017" s="45"/>
    </row>
    <row r="3018" spans="8:14" ht="16.5" thickBot="1" x14ac:dyDescent="0.3">
      <c r="H3018" s="90"/>
      <c r="I3018" s="94">
        <f>SUM(I3013:I3017)</f>
        <v>1651000</v>
      </c>
      <c r="J3018" s="94" t="e">
        <f>SUM(J3013:J3017)</f>
        <v>#REF!</v>
      </c>
      <c r="K3018" s="95" t="e">
        <f>SUM(K3013:K3017)</f>
        <v>#REF!</v>
      </c>
    </row>
    <row r="3019" spans="8:14" ht="16.5" x14ac:dyDescent="0.25">
      <c r="H3019" s="39" t="s">
        <v>46</v>
      </c>
      <c r="I3019" s="40"/>
    </row>
    <row r="3020" spans="8:14" x14ac:dyDescent="0.25">
      <c r="H3020" s="41" t="s">
        <v>47</v>
      </c>
    </row>
    <row r="3021" spans="8:14" x14ac:dyDescent="0.25">
      <c r="H3021" s="41" t="s">
        <v>48</v>
      </c>
    </row>
    <row r="3022" spans="8:14" x14ac:dyDescent="0.25">
      <c r="H3022" s="41" t="s">
        <v>49</v>
      </c>
    </row>
    <row r="3023" spans="8:14" ht="12" customHeight="1" x14ac:dyDescent="0.25">
      <c r="H3023" s="40"/>
      <c r="I3023" s="40"/>
    </row>
    <row r="3024" spans="8:14" ht="15.75" x14ac:dyDescent="0.25">
      <c r="H3024" s="188" t="s">
        <v>937</v>
      </c>
      <c r="N3024" s="45"/>
    </row>
    <row r="3025" spans="8:15" ht="15.75" x14ac:dyDescent="0.25">
      <c r="H3025" s="47" t="s">
        <v>704</v>
      </c>
      <c r="N3025" s="47"/>
    </row>
    <row r="3026" spans="8:15" ht="16.5" x14ac:dyDescent="0.25">
      <c r="H3026" s="326" t="s">
        <v>683</v>
      </c>
      <c r="I3026" s="326"/>
      <c r="J3026" s="326"/>
      <c r="K3026" s="326"/>
      <c r="L3026" s="326"/>
      <c r="M3026" s="326"/>
      <c r="N3026" s="326"/>
      <c r="O3026" s="326"/>
    </row>
    <row r="3027" spans="8:15" ht="15.75" thickBot="1" x14ac:dyDescent="0.3"/>
    <row r="3028" spans="8:15" x14ac:dyDescent="0.25">
      <c r="H3028" s="327" t="s">
        <v>56</v>
      </c>
      <c r="I3028" s="322" t="s">
        <v>57</v>
      </c>
      <c r="J3028" s="322" t="s">
        <v>58</v>
      </c>
      <c r="K3028" s="322" t="s">
        <v>7</v>
      </c>
      <c r="L3028" s="322" t="s">
        <v>59</v>
      </c>
      <c r="M3028" s="322" t="s">
        <v>60</v>
      </c>
      <c r="N3028" s="322" t="s">
        <v>61</v>
      </c>
      <c r="O3028" s="324"/>
    </row>
    <row r="3029" spans="8:15" ht="15.75" thickBot="1" x14ac:dyDescent="0.3">
      <c r="H3029" s="328"/>
      <c r="I3029" s="323"/>
      <c r="J3029" s="323"/>
      <c r="K3029" s="323"/>
      <c r="L3029" s="323"/>
      <c r="M3029" s="323"/>
      <c r="N3029" s="51" t="s">
        <v>62</v>
      </c>
      <c r="O3029" s="52" t="s">
        <v>63</v>
      </c>
    </row>
    <row r="3030" spans="8:15" x14ac:dyDescent="0.25">
      <c r="H3030" s="318">
        <v>324</v>
      </c>
      <c r="I3030" s="312">
        <v>42692</v>
      </c>
      <c r="J3030" s="314" t="s">
        <v>798</v>
      </c>
      <c r="K3030" s="316" t="s">
        <v>938</v>
      </c>
      <c r="L3030" s="318" t="s">
        <v>66</v>
      </c>
      <c r="M3030" s="320">
        <v>70000</v>
      </c>
      <c r="N3030" s="53">
        <v>719</v>
      </c>
      <c r="O3030" s="54">
        <v>70000</v>
      </c>
    </row>
    <row r="3031" spans="8:15" ht="15.75" thickBot="1" x14ac:dyDescent="0.3">
      <c r="H3031" s="319"/>
      <c r="I3031" s="313"/>
      <c r="J3031" s="315"/>
      <c r="K3031" s="317"/>
      <c r="L3031" s="319"/>
      <c r="M3031" s="321"/>
      <c r="N3031" s="55">
        <v>721</v>
      </c>
      <c r="O3031" s="56">
        <f>+M3030-O3030</f>
        <v>0</v>
      </c>
    </row>
    <row r="3032" spans="8:15" ht="15" customHeight="1" x14ac:dyDescent="0.25">
      <c r="H3032" s="318">
        <v>325</v>
      </c>
      <c r="I3032" s="312">
        <v>42692</v>
      </c>
      <c r="J3032" s="314" t="s">
        <v>70</v>
      </c>
      <c r="K3032" s="316" t="s">
        <v>939</v>
      </c>
      <c r="L3032" s="318" t="s">
        <v>66</v>
      </c>
      <c r="M3032" s="320">
        <v>80000</v>
      </c>
      <c r="N3032" s="53">
        <v>719</v>
      </c>
      <c r="O3032" s="54">
        <v>80000</v>
      </c>
    </row>
    <row r="3033" spans="8:15" ht="15.75" customHeight="1" thickBot="1" x14ac:dyDescent="0.3">
      <c r="H3033" s="319"/>
      <c r="I3033" s="313"/>
      <c r="J3033" s="315"/>
      <c r="K3033" s="317"/>
      <c r="L3033" s="319"/>
      <c r="M3033" s="321"/>
      <c r="N3033" s="55">
        <v>721</v>
      </c>
      <c r="O3033" s="56">
        <f>+M3032-O3032</f>
        <v>0</v>
      </c>
    </row>
    <row r="3034" spans="8:15" ht="15" customHeight="1" x14ac:dyDescent="0.25">
      <c r="H3034" s="318">
        <v>326</v>
      </c>
      <c r="I3034" s="312">
        <v>42692</v>
      </c>
      <c r="J3034" s="314" t="s">
        <v>251</v>
      </c>
      <c r="K3034" s="316" t="s">
        <v>940</v>
      </c>
      <c r="L3034" s="318" t="s">
        <v>66</v>
      </c>
      <c r="M3034" s="320">
        <v>110000</v>
      </c>
      <c r="N3034" s="53">
        <v>719</v>
      </c>
      <c r="O3034" s="54">
        <v>110000</v>
      </c>
    </row>
    <row r="3035" spans="8:15" ht="15.75" customHeight="1" thickBot="1" x14ac:dyDescent="0.3">
      <c r="H3035" s="319"/>
      <c r="I3035" s="313"/>
      <c r="J3035" s="315"/>
      <c r="K3035" s="317"/>
      <c r="L3035" s="319"/>
      <c r="M3035" s="321"/>
      <c r="N3035" s="55">
        <v>721</v>
      </c>
      <c r="O3035" s="56">
        <f>+M3034-O3034</f>
        <v>0</v>
      </c>
    </row>
    <row r="3036" spans="8:15" x14ac:dyDescent="0.25">
      <c r="H3036" s="318"/>
      <c r="I3036" s="312"/>
      <c r="J3036" s="314"/>
      <c r="K3036" s="316"/>
      <c r="L3036" s="318"/>
      <c r="M3036" s="320"/>
      <c r="N3036" s="53">
        <v>719</v>
      </c>
      <c r="O3036" s="54">
        <v>0</v>
      </c>
    </row>
    <row r="3037" spans="8:15" ht="15.75" thickBot="1" x14ac:dyDescent="0.3">
      <c r="H3037" s="319"/>
      <c r="I3037" s="313"/>
      <c r="J3037" s="315"/>
      <c r="K3037" s="317"/>
      <c r="L3037" s="319"/>
      <c r="M3037" s="321"/>
      <c r="N3037" s="55">
        <v>721</v>
      </c>
      <c r="O3037" s="56">
        <f>+M3036-O3036</f>
        <v>0</v>
      </c>
    </row>
    <row r="3038" spans="8:15" x14ac:dyDescent="0.25">
      <c r="H3038" s="318"/>
      <c r="I3038" s="312"/>
      <c r="J3038" s="314"/>
      <c r="K3038" s="316"/>
      <c r="L3038" s="318"/>
      <c r="M3038" s="320"/>
      <c r="N3038" s="53">
        <v>719</v>
      </c>
      <c r="O3038" s="54"/>
    </row>
    <row r="3039" spans="8:15" ht="15.75" thickBot="1" x14ac:dyDescent="0.3">
      <c r="H3039" s="319"/>
      <c r="I3039" s="313"/>
      <c r="J3039" s="315"/>
      <c r="K3039" s="317"/>
      <c r="L3039" s="319"/>
      <c r="M3039" s="321"/>
      <c r="N3039" s="55">
        <v>721</v>
      </c>
      <c r="O3039" s="56">
        <f>+M3038-O3038</f>
        <v>0</v>
      </c>
    </row>
    <row r="3040" spans="8:15" ht="16.5" thickBot="1" x14ac:dyDescent="0.3">
      <c r="H3040" s="297" t="s">
        <v>80</v>
      </c>
      <c r="I3040" s="298"/>
      <c r="J3040" s="298"/>
      <c r="K3040" s="298"/>
      <c r="L3040" s="299"/>
      <c r="M3040" s="62">
        <f>SUM(M3030:M3039)</f>
        <v>260000</v>
      </c>
    </row>
    <row r="3041" spans="8:15" ht="16.5" thickBot="1" x14ac:dyDescent="0.3">
      <c r="H3041" s="300" t="s">
        <v>81</v>
      </c>
      <c r="I3041" s="301"/>
      <c r="J3041" s="301"/>
      <c r="K3041" s="301"/>
      <c r="L3041" s="302"/>
      <c r="M3041" s="63">
        <f>+M3005</f>
        <v>191581509</v>
      </c>
      <c r="N3041" s="64" t="s">
        <v>82</v>
      </c>
      <c r="O3041" s="65">
        <f>235+115+352</f>
        <v>702</v>
      </c>
    </row>
    <row r="3042" spans="8:15" ht="16.5" thickBot="1" x14ac:dyDescent="0.3">
      <c r="H3042" s="303" t="s">
        <v>83</v>
      </c>
      <c r="I3042" s="304"/>
      <c r="J3042" s="304"/>
      <c r="K3042" s="304"/>
      <c r="L3042" s="305"/>
      <c r="M3042" s="66">
        <f>SUM(M3040:M3041)</f>
        <v>191841509</v>
      </c>
    </row>
    <row r="3043" spans="8:15" x14ac:dyDescent="0.25">
      <c r="H3043" s="67"/>
      <c r="I3043" s="67"/>
      <c r="J3043" s="67"/>
      <c r="K3043" s="67"/>
      <c r="L3043" s="67"/>
    </row>
    <row r="3044" spans="8:15" x14ac:dyDescent="0.25">
      <c r="H3044" s="41" t="s">
        <v>941</v>
      </c>
    </row>
    <row r="3045" spans="8:15" ht="11.25" customHeight="1" x14ac:dyDescent="0.25">
      <c r="M3045" s="68"/>
    </row>
    <row r="3046" spans="8:15" x14ac:dyDescent="0.25">
      <c r="H3046" s="40" t="s">
        <v>86</v>
      </c>
      <c r="K3046" s="69"/>
      <c r="M3046" s="68"/>
    </row>
    <row r="3047" spans="8:15" ht="13.5" customHeight="1" thickBot="1" x14ac:dyDescent="0.3"/>
    <row r="3048" spans="8:15" ht="15.75" thickBot="1" x14ac:dyDescent="0.3">
      <c r="H3048" s="306" t="s">
        <v>87</v>
      </c>
      <c r="I3048" s="307"/>
      <c r="J3048" s="307"/>
      <c r="K3048" s="308"/>
      <c r="M3048" s="40" t="s">
        <v>874</v>
      </c>
    </row>
    <row r="3049" spans="8:15" ht="30.75" thickBot="1" x14ac:dyDescent="0.3">
      <c r="H3049" s="70" t="s">
        <v>62</v>
      </c>
      <c r="I3049" s="71" t="s">
        <v>90</v>
      </c>
      <c r="J3049" s="204" t="s">
        <v>91</v>
      </c>
      <c r="K3049" s="73" t="s">
        <v>92</v>
      </c>
    </row>
    <row r="3050" spans="8:15" x14ac:dyDescent="0.25">
      <c r="H3050" s="75">
        <v>719</v>
      </c>
      <c r="I3050" s="76">
        <f>+O3030+O3032+O3034+O3036</f>
        <v>260000</v>
      </c>
      <c r="J3050" s="77">
        <f>+K3013</f>
        <v>34900000</v>
      </c>
      <c r="K3050" s="79">
        <f>+I3050+J3050</f>
        <v>35160000</v>
      </c>
    </row>
    <row r="3051" spans="8:15" x14ac:dyDescent="0.25">
      <c r="H3051" s="80">
        <v>721</v>
      </c>
      <c r="I3051" s="81">
        <f>+O3031+O3033+O3035+O3037+O3039</f>
        <v>0</v>
      </c>
      <c r="J3051" s="77">
        <f>+K3014</f>
        <v>166826546</v>
      </c>
      <c r="K3051" s="79">
        <f>+I3051+J3051</f>
        <v>166826546</v>
      </c>
    </row>
    <row r="3052" spans="8:15" x14ac:dyDescent="0.25">
      <c r="H3052" s="80">
        <v>722</v>
      </c>
      <c r="I3052" s="81"/>
      <c r="J3052" s="77">
        <f>+K3015</f>
        <v>5580000</v>
      </c>
      <c r="K3052" s="79">
        <f>+I3052+J3052</f>
        <v>5580000</v>
      </c>
    </row>
    <row r="3053" spans="8:15" ht="15.75" x14ac:dyDescent="0.25">
      <c r="H3053" s="80">
        <v>723</v>
      </c>
      <c r="I3053" s="81"/>
      <c r="J3053" s="77">
        <f>+K3016</f>
        <v>0</v>
      </c>
      <c r="K3053" s="79">
        <f>+I3053+J3053</f>
        <v>0</v>
      </c>
      <c r="M3053" s="109" t="s">
        <v>813</v>
      </c>
      <c r="N3053" s="84"/>
    </row>
    <row r="3054" spans="8:15" ht="16.5" thickBot="1" x14ac:dyDescent="0.3">
      <c r="H3054" s="85" t="s">
        <v>854</v>
      </c>
      <c r="I3054" s="86"/>
      <c r="J3054" s="77" t="e">
        <f>+K3017</f>
        <v>#REF!</v>
      </c>
      <c r="K3054" s="89" t="e">
        <f>+I3054+J3054</f>
        <v>#REF!</v>
      </c>
      <c r="M3054" s="45"/>
    </row>
    <row r="3055" spans="8:15" ht="16.5" thickBot="1" x14ac:dyDescent="0.3">
      <c r="H3055" s="90"/>
      <c r="I3055" s="94">
        <f>SUM(I3050:I3054)</f>
        <v>260000</v>
      </c>
      <c r="J3055" s="94" t="e">
        <f>SUM(J3050:J3054)</f>
        <v>#REF!</v>
      </c>
      <c r="K3055" s="95" t="e">
        <f>SUM(K3050:K3054)</f>
        <v>#REF!</v>
      </c>
    </row>
    <row r="3056" spans="8:15" ht="16.5" x14ac:dyDescent="0.25">
      <c r="H3056" s="39" t="s">
        <v>46</v>
      </c>
      <c r="I3056" s="40"/>
    </row>
    <row r="3057" spans="8:15" x14ac:dyDescent="0.25">
      <c r="H3057" s="41" t="s">
        <v>47</v>
      </c>
    </row>
    <row r="3058" spans="8:15" x14ac:dyDescent="0.25">
      <c r="H3058" s="41" t="s">
        <v>48</v>
      </c>
    </row>
    <row r="3059" spans="8:15" x14ac:dyDescent="0.25">
      <c r="H3059" s="41" t="s">
        <v>49</v>
      </c>
    </row>
    <row r="3060" spans="8:15" ht="11.25" customHeight="1" x14ac:dyDescent="0.25">
      <c r="H3060" s="40"/>
      <c r="I3060" s="40"/>
    </row>
    <row r="3061" spans="8:15" ht="15.75" x14ac:dyDescent="0.25">
      <c r="H3061" s="188" t="s">
        <v>942</v>
      </c>
      <c r="N3061" s="45"/>
    </row>
    <row r="3062" spans="8:15" ht="15.75" x14ac:dyDescent="0.25">
      <c r="H3062" s="47" t="s">
        <v>704</v>
      </c>
      <c r="N3062" s="47"/>
    </row>
    <row r="3063" spans="8:15" ht="16.5" x14ac:dyDescent="0.25">
      <c r="H3063" s="326" t="s">
        <v>683</v>
      </c>
      <c r="I3063" s="326"/>
      <c r="J3063" s="326"/>
      <c r="K3063" s="326"/>
      <c r="L3063" s="326"/>
      <c r="M3063" s="326"/>
      <c r="N3063" s="326"/>
      <c r="O3063" s="326"/>
    </row>
    <row r="3064" spans="8:15" ht="15.75" thickBot="1" x14ac:dyDescent="0.3"/>
    <row r="3065" spans="8:15" x14ac:dyDescent="0.25">
      <c r="H3065" s="327" t="s">
        <v>56</v>
      </c>
      <c r="I3065" s="322" t="s">
        <v>57</v>
      </c>
      <c r="J3065" s="322" t="s">
        <v>58</v>
      </c>
      <c r="K3065" s="322" t="s">
        <v>7</v>
      </c>
      <c r="L3065" s="322" t="s">
        <v>59</v>
      </c>
      <c r="M3065" s="322" t="s">
        <v>60</v>
      </c>
      <c r="N3065" s="322" t="s">
        <v>61</v>
      </c>
      <c r="O3065" s="324"/>
    </row>
    <row r="3066" spans="8:15" ht="15.75" thickBot="1" x14ac:dyDescent="0.3">
      <c r="H3066" s="328"/>
      <c r="I3066" s="323"/>
      <c r="J3066" s="323"/>
      <c r="K3066" s="323"/>
      <c r="L3066" s="323"/>
      <c r="M3066" s="323"/>
      <c r="N3066" s="51" t="s">
        <v>62</v>
      </c>
      <c r="O3066" s="52" t="s">
        <v>63</v>
      </c>
    </row>
    <row r="3067" spans="8:15" x14ac:dyDescent="0.25">
      <c r="H3067" s="318">
        <v>327</v>
      </c>
      <c r="I3067" s="312">
        <v>42703</v>
      </c>
      <c r="J3067" s="314" t="s">
        <v>798</v>
      </c>
      <c r="K3067" s="316" t="s">
        <v>943</v>
      </c>
      <c r="L3067" s="318" t="s">
        <v>66</v>
      </c>
      <c r="M3067" s="320">
        <v>50000</v>
      </c>
      <c r="N3067" s="53">
        <v>719</v>
      </c>
      <c r="O3067" s="54">
        <v>50000</v>
      </c>
    </row>
    <row r="3068" spans="8:15" ht="15.75" thickBot="1" x14ac:dyDescent="0.3">
      <c r="H3068" s="319"/>
      <c r="I3068" s="313"/>
      <c r="J3068" s="315"/>
      <c r="K3068" s="317"/>
      <c r="L3068" s="319"/>
      <c r="M3068" s="321"/>
      <c r="N3068" s="55">
        <v>721</v>
      </c>
      <c r="O3068" s="56">
        <f>+M3067-O3067</f>
        <v>0</v>
      </c>
    </row>
    <row r="3069" spans="8:15" ht="15" customHeight="1" x14ac:dyDescent="0.25">
      <c r="H3069" s="318">
        <v>328</v>
      </c>
      <c r="I3069" s="312">
        <v>42703</v>
      </c>
      <c r="J3069" s="314" t="s">
        <v>70</v>
      </c>
      <c r="K3069" s="316" t="s">
        <v>943</v>
      </c>
      <c r="L3069" s="318" t="s">
        <v>66</v>
      </c>
      <c r="M3069" s="320">
        <v>50000</v>
      </c>
      <c r="N3069" s="53">
        <v>719</v>
      </c>
      <c r="O3069" s="54">
        <v>50000</v>
      </c>
    </row>
    <row r="3070" spans="8:15" ht="15.75" customHeight="1" thickBot="1" x14ac:dyDescent="0.3">
      <c r="H3070" s="319"/>
      <c r="I3070" s="313"/>
      <c r="J3070" s="315"/>
      <c r="K3070" s="317"/>
      <c r="L3070" s="319"/>
      <c r="M3070" s="321"/>
      <c r="N3070" s="55">
        <v>721</v>
      </c>
      <c r="O3070" s="56">
        <f>+M3069-O3069</f>
        <v>0</v>
      </c>
    </row>
    <row r="3071" spans="8:15" ht="15" customHeight="1" x14ac:dyDescent="0.25">
      <c r="H3071" s="318">
        <v>329</v>
      </c>
      <c r="I3071" s="312">
        <v>42703</v>
      </c>
      <c r="J3071" s="314" t="s">
        <v>251</v>
      </c>
      <c r="K3071" s="316" t="s">
        <v>944</v>
      </c>
      <c r="L3071" s="318" t="s">
        <v>66</v>
      </c>
      <c r="M3071" s="320">
        <v>30000</v>
      </c>
      <c r="N3071" s="53">
        <v>719</v>
      </c>
      <c r="O3071" s="54">
        <v>30000</v>
      </c>
    </row>
    <row r="3072" spans="8:15" ht="15.75" customHeight="1" thickBot="1" x14ac:dyDescent="0.3">
      <c r="H3072" s="319"/>
      <c r="I3072" s="313"/>
      <c r="J3072" s="315"/>
      <c r="K3072" s="317"/>
      <c r="L3072" s="319"/>
      <c r="M3072" s="321"/>
      <c r="N3072" s="55">
        <v>721</v>
      </c>
      <c r="O3072" s="56">
        <f>+M3071-O3071</f>
        <v>0</v>
      </c>
    </row>
    <row r="3073" spans="8:15" x14ac:dyDescent="0.25">
      <c r="H3073" s="318">
        <v>330</v>
      </c>
      <c r="I3073" s="312">
        <v>42703</v>
      </c>
      <c r="J3073" s="314" t="s">
        <v>945</v>
      </c>
      <c r="K3073" s="316" t="s">
        <v>946</v>
      </c>
      <c r="L3073" s="318" t="s">
        <v>5</v>
      </c>
      <c r="M3073" s="320">
        <v>1350000</v>
      </c>
      <c r="N3073" s="53">
        <v>719</v>
      </c>
      <c r="O3073" s="54">
        <v>0</v>
      </c>
    </row>
    <row r="3074" spans="8:15" ht="15.75" thickBot="1" x14ac:dyDescent="0.3">
      <c r="H3074" s="319"/>
      <c r="I3074" s="313"/>
      <c r="J3074" s="315"/>
      <c r="K3074" s="317"/>
      <c r="L3074" s="319"/>
      <c r="M3074" s="321"/>
      <c r="N3074" s="55">
        <v>723</v>
      </c>
      <c r="O3074" s="56">
        <f>+M3073-O3073</f>
        <v>1350000</v>
      </c>
    </row>
    <row r="3075" spans="8:15" x14ac:dyDescent="0.25">
      <c r="H3075" s="318"/>
      <c r="I3075" s="312"/>
      <c r="J3075" s="314"/>
      <c r="K3075" s="316"/>
      <c r="L3075" s="318"/>
      <c r="M3075" s="320"/>
      <c r="N3075" s="53">
        <v>719</v>
      </c>
      <c r="O3075" s="54"/>
    </row>
    <row r="3076" spans="8:15" ht="15.75" thickBot="1" x14ac:dyDescent="0.3">
      <c r="H3076" s="319"/>
      <c r="I3076" s="313"/>
      <c r="J3076" s="315"/>
      <c r="K3076" s="317"/>
      <c r="L3076" s="319"/>
      <c r="M3076" s="321"/>
      <c r="N3076" s="55">
        <v>721</v>
      </c>
      <c r="O3076" s="56">
        <f>+M3075-O3075</f>
        <v>0</v>
      </c>
    </row>
    <row r="3077" spans="8:15" ht="16.5" thickBot="1" x14ac:dyDescent="0.3">
      <c r="H3077" s="297" t="s">
        <v>80</v>
      </c>
      <c r="I3077" s="298"/>
      <c r="J3077" s="298"/>
      <c r="K3077" s="298"/>
      <c r="L3077" s="299"/>
      <c r="M3077" s="62">
        <f>SUM(M3067:M3076)</f>
        <v>1480000</v>
      </c>
    </row>
    <row r="3078" spans="8:15" ht="16.5" thickBot="1" x14ac:dyDescent="0.3">
      <c r="H3078" s="300" t="s">
        <v>81</v>
      </c>
      <c r="I3078" s="301"/>
      <c r="J3078" s="301"/>
      <c r="K3078" s="301"/>
      <c r="L3078" s="302"/>
      <c r="M3078" s="63">
        <f>+M3042</f>
        <v>191841509</v>
      </c>
      <c r="N3078" s="64" t="s">
        <v>82</v>
      </c>
      <c r="O3078" s="65">
        <f>48+92+184</f>
        <v>324</v>
      </c>
    </row>
    <row r="3079" spans="8:15" ht="16.5" thickBot="1" x14ac:dyDescent="0.3">
      <c r="H3079" s="303" t="s">
        <v>83</v>
      </c>
      <c r="I3079" s="304"/>
      <c r="J3079" s="304"/>
      <c r="K3079" s="304"/>
      <c r="L3079" s="305"/>
      <c r="M3079" s="66">
        <f>SUM(M3077:M3078)</f>
        <v>193321509</v>
      </c>
    </row>
    <row r="3080" spans="8:15" ht="12" customHeight="1" x14ac:dyDescent="0.25">
      <c r="H3080" s="67"/>
      <c r="I3080" s="67"/>
      <c r="J3080" s="67"/>
      <c r="K3080" s="67"/>
      <c r="L3080" s="67"/>
    </row>
    <row r="3081" spans="8:15" x14ac:dyDescent="0.25">
      <c r="H3081" s="41" t="s">
        <v>947</v>
      </c>
    </row>
    <row r="3082" spans="8:15" ht="12" customHeight="1" x14ac:dyDescent="0.25">
      <c r="M3082" s="68"/>
    </row>
    <row r="3083" spans="8:15" x14ac:dyDescent="0.25">
      <c r="H3083" s="40" t="s">
        <v>86</v>
      </c>
      <c r="K3083" s="69"/>
      <c r="M3083" s="68"/>
    </row>
    <row r="3084" spans="8:15" ht="12.75" customHeight="1" thickBot="1" x14ac:dyDescent="0.3"/>
    <row r="3085" spans="8:15" ht="15.75" thickBot="1" x14ac:dyDescent="0.3">
      <c r="H3085" s="306" t="s">
        <v>87</v>
      </c>
      <c r="I3085" s="307"/>
      <c r="J3085" s="307"/>
      <c r="K3085" s="308"/>
      <c r="M3085" s="40" t="s">
        <v>89</v>
      </c>
    </row>
    <row r="3086" spans="8:15" ht="30.75" thickBot="1" x14ac:dyDescent="0.3">
      <c r="H3086" s="70" t="s">
        <v>62</v>
      </c>
      <c r="I3086" s="71" t="s">
        <v>90</v>
      </c>
      <c r="J3086" s="204" t="s">
        <v>91</v>
      </c>
      <c r="K3086" s="73" t="s">
        <v>92</v>
      </c>
    </row>
    <row r="3087" spans="8:15" x14ac:dyDescent="0.25">
      <c r="H3087" s="75">
        <v>719</v>
      </c>
      <c r="I3087" s="76">
        <f>+O3067+O3069+O3071+O3073</f>
        <v>130000</v>
      </c>
      <c r="J3087" s="77">
        <f>+K3050</f>
        <v>35160000</v>
      </c>
      <c r="K3087" s="79">
        <f>+I3087+J3087</f>
        <v>35290000</v>
      </c>
    </row>
    <row r="3088" spans="8:15" x14ac:dyDescent="0.25">
      <c r="H3088" s="80">
        <v>721</v>
      </c>
      <c r="I3088" s="81"/>
      <c r="J3088" s="77">
        <f>+K3051</f>
        <v>166826546</v>
      </c>
      <c r="K3088" s="79">
        <f>+I3088+J3088</f>
        <v>166826546</v>
      </c>
    </row>
    <row r="3089" spans="8:15" x14ac:dyDescent="0.25">
      <c r="H3089" s="80">
        <v>722</v>
      </c>
      <c r="I3089" s="81"/>
      <c r="J3089" s="77">
        <f>+K3052</f>
        <v>5580000</v>
      </c>
      <c r="K3089" s="79">
        <f>+I3089+J3089</f>
        <v>5580000</v>
      </c>
    </row>
    <row r="3090" spans="8:15" ht="15.75" x14ac:dyDescent="0.25">
      <c r="H3090" s="80">
        <v>723</v>
      </c>
      <c r="I3090" s="81">
        <f>+O3074</f>
        <v>1350000</v>
      </c>
      <c r="J3090" s="77">
        <f>+K3053</f>
        <v>0</v>
      </c>
      <c r="K3090" s="79">
        <f>+I3090+J3090</f>
        <v>1350000</v>
      </c>
      <c r="M3090" s="109" t="s">
        <v>304</v>
      </c>
      <c r="N3090" s="84"/>
    </row>
    <row r="3091" spans="8:15" ht="16.5" thickBot="1" x14ac:dyDescent="0.3">
      <c r="H3091" s="85" t="s">
        <v>854</v>
      </c>
      <c r="I3091" s="86"/>
      <c r="J3091" s="77" t="e">
        <f>+K3054</f>
        <v>#REF!</v>
      </c>
      <c r="K3091" s="89" t="e">
        <f>+I3091+J3091</f>
        <v>#REF!</v>
      </c>
      <c r="M3091" s="45"/>
    </row>
    <row r="3092" spans="8:15" ht="16.5" thickBot="1" x14ac:dyDescent="0.3">
      <c r="H3092" s="90"/>
      <c r="I3092" s="94">
        <f>SUM(I3087:I3091)</f>
        <v>1480000</v>
      </c>
      <c r="J3092" s="94" t="e">
        <f>SUM(J3087:J3091)</f>
        <v>#REF!</v>
      </c>
      <c r="K3092" s="95" t="e">
        <f>SUM(K3087:K3091)</f>
        <v>#REF!</v>
      </c>
    </row>
    <row r="3093" spans="8:15" ht="16.5" x14ac:dyDescent="0.25">
      <c r="H3093" s="39" t="s">
        <v>46</v>
      </c>
      <c r="I3093" s="40"/>
    </row>
    <row r="3094" spans="8:15" x14ac:dyDescent="0.25">
      <c r="H3094" s="41" t="s">
        <v>47</v>
      </c>
    </row>
    <row r="3095" spans="8:15" x14ac:dyDescent="0.25">
      <c r="H3095" s="41" t="s">
        <v>48</v>
      </c>
    </row>
    <row r="3096" spans="8:15" x14ac:dyDescent="0.25">
      <c r="H3096" s="41" t="s">
        <v>49</v>
      </c>
    </row>
    <row r="3097" spans="8:15" ht="12" customHeight="1" x14ac:dyDescent="0.25">
      <c r="H3097" s="40"/>
      <c r="I3097" s="40"/>
    </row>
    <row r="3098" spans="8:15" ht="15.75" x14ac:dyDescent="0.25">
      <c r="H3098" s="188" t="s">
        <v>948</v>
      </c>
      <c r="N3098" s="45"/>
    </row>
    <row r="3099" spans="8:15" ht="15.75" x14ac:dyDescent="0.25">
      <c r="H3099" s="47" t="s">
        <v>704</v>
      </c>
      <c r="N3099" s="47"/>
    </row>
    <row r="3100" spans="8:15" ht="16.5" x14ac:dyDescent="0.25">
      <c r="H3100" s="326" t="s">
        <v>949</v>
      </c>
      <c r="I3100" s="326"/>
      <c r="J3100" s="326"/>
      <c r="K3100" s="326"/>
      <c r="L3100" s="326"/>
      <c r="M3100" s="326"/>
      <c r="N3100" s="326"/>
      <c r="O3100" s="326"/>
    </row>
    <row r="3101" spans="8:15" ht="15.75" thickBot="1" x14ac:dyDescent="0.3"/>
    <row r="3102" spans="8:15" x14ac:dyDescent="0.25">
      <c r="H3102" s="327" t="s">
        <v>56</v>
      </c>
      <c r="I3102" s="322" t="s">
        <v>57</v>
      </c>
      <c r="J3102" s="322" t="s">
        <v>58</v>
      </c>
      <c r="K3102" s="322" t="s">
        <v>7</v>
      </c>
      <c r="L3102" s="322" t="s">
        <v>59</v>
      </c>
      <c r="M3102" s="322" t="s">
        <v>60</v>
      </c>
      <c r="N3102" s="322" t="s">
        <v>61</v>
      </c>
      <c r="O3102" s="324"/>
    </row>
    <row r="3103" spans="8:15" ht="15.75" thickBot="1" x14ac:dyDescent="0.3">
      <c r="H3103" s="328"/>
      <c r="I3103" s="323"/>
      <c r="J3103" s="323"/>
      <c r="K3103" s="323"/>
      <c r="L3103" s="323"/>
      <c r="M3103" s="323"/>
      <c r="N3103" s="51" t="s">
        <v>62</v>
      </c>
      <c r="O3103" s="52" t="s">
        <v>63</v>
      </c>
    </row>
    <row r="3104" spans="8:15" x14ac:dyDescent="0.25">
      <c r="H3104" s="318">
        <v>331</v>
      </c>
      <c r="I3104" s="312">
        <v>42704</v>
      </c>
      <c r="J3104" s="314" t="s">
        <v>798</v>
      </c>
      <c r="K3104" s="316" t="s">
        <v>950</v>
      </c>
      <c r="L3104" s="318" t="s">
        <v>66</v>
      </c>
      <c r="M3104" s="320">
        <v>70000</v>
      </c>
      <c r="N3104" s="53">
        <v>719</v>
      </c>
      <c r="O3104" s="54">
        <v>70000</v>
      </c>
    </row>
    <row r="3105" spans="8:15" ht="15.75" thickBot="1" x14ac:dyDescent="0.3">
      <c r="H3105" s="319"/>
      <c r="I3105" s="313"/>
      <c r="J3105" s="315"/>
      <c r="K3105" s="317"/>
      <c r="L3105" s="319"/>
      <c r="M3105" s="321"/>
      <c r="N3105" s="55">
        <v>721</v>
      </c>
      <c r="O3105" s="56">
        <f>+M3104-O3104</f>
        <v>0</v>
      </c>
    </row>
    <row r="3106" spans="8:15" ht="15" customHeight="1" x14ac:dyDescent="0.25">
      <c r="H3106" s="318">
        <v>332</v>
      </c>
      <c r="I3106" s="312">
        <v>42704</v>
      </c>
      <c r="J3106" s="314" t="s">
        <v>70</v>
      </c>
      <c r="K3106" s="316" t="s">
        <v>950</v>
      </c>
      <c r="L3106" s="318" t="s">
        <v>66</v>
      </c>
      <c r="M3106" s="320">
        <v>70000</v>
      </c>
      <c r="N3106" s="53">
        <v>719</v>
      </c>
      <c r="O3106" s="54">
        <v>70000</v>
      </c>
    </row>
    <row r="3107" spans="8:15" ht="15.75" customHeight="1" thickBot="1" x14ac:dyDescent="0.3">
      <c r="H3107" s="319"/>
      <c r="I3107" s="313"/>
      <c r="J3107" s="315"/>
      <c r="K3107" s="317"/>
      <c r="L3107" s="319"/>
      <c r="M3107" s="321"/>
      <c r="N3107" s="55">
        <v>721</v>
      </c>
      <c r="O3107" s="56">
        <f>+M3106-O3106</f>
        <v>0</v>
      </c>
    </row>
    <row r="3108" spans="8:15" ht="15" customHeight="1" x14ac:dyDescent="0.25">
      <c r="H3108" s="318">
        <v>333</v>
      </c>
      <c r="I3108" s="312">
        <v>42704</v>
      </c>
      <c r="J3108" s="314" t="s">
        <v>251</v>
      </c>
      <c r="K3108" s="316" t="s">
        <v>950</v>
      </c>
      <c r="L3108" s="318" t="s">
        <v>66</v>
      </c>
      <c r="M3108" s="320">
        <v>110000</v>
      </c>
      <c r="N3108" s="53">
        <v>719</v>
      </c>
      <c r="O3108" s="54">
        <v>110000</v>
      </c>
    </row>
    <row r="3109" spans="8:15" ht="15.75" customHeight="1" thickBot="1" x14ac:dyDescent="0.3">
      <c r="H3109" s="319"/>
      <c r="I3109" s="313"/>
      <c r="J3109" s="315"/>
      <c r="K3109" s="317"/>
      <c r="L3109" s="319"/>
      <c r="M3109" s="321"/>
      <c r="N3109" s="55">
        <v>721</v>
      </c>
      <c r="O3109" s="56">
        <f>+M3108-O3108</f>
        <v>0</v>
      </c>
    </row>
    <row r="3110" spans="8:15" ht="15" customHeight="1" x14ac:dyDescent="0.25">
      <c r="H3110" s="318"/>
      <c r="I3110" s="312"/>
      <c r="J3110" s="314"/>
      <c r="K3110" s="316"/>
      <c r="L3110" s="318"/>
      <c r="M3110" s="320"/>
      <c r="N3110" s="53"/>
      <c r="O3110" s="54"/>
    </row>
    <row r="3111" spans="8:15" ht="15.75" customHeight="1" thickBot="1" x14ac:dyDescent="0.3">
      <c r="H3111" s="319"/>
      <c r="I3111" s="313"/>
      <c r="J3111" s="315"/>
      <c r="K3111" s="317"/>
      <c r="L3111" s="319"/>
      <c r="M3111" s="321"/>
      <c r="N3111" s="55"/>
      <c r="O3111" s="56"/>
    </row>
    <row r="3112" spans="8:15" ht="14.25" customHeight="1" x14ac:dyDescent="0.25">
      <c r="H3112" s="318"/>
      <c r="I3112" s="312"/>
      <c r="J3112" s="314"/>
      <c r="K3112" s="316"/>
      <c r="L3112" s="318"/>
      <c r="M3112" s="320"/>
      <c r="N3112" s="53">
        <v>719</v>
      </c>
      <c r="O3112" s="54"/>
    </row>
    <row r="3113" spans="8:15" ht="13.5" customHeight="1" thickBot="1" x14ac:dyDescent="0.3">
      <c r="H3113" s="319"/>
      <c r="I3113" s="313"/>
      <c r="J3113" s="315"/>
      <c r="K3113" s="317"/>
      <c r="L3113" s="319"/>
      <c r="M3113" s="321"/>
      <c r="N3113" s="55">
        <v>721</v>
      </c>
      <c r="O3113" s="56">
        <f>+M3112-O3112</f>
        <v>0</v>
      </c>
    </row>
    <row r="3114" spans="8:15" ht="16.5" thickBot="1" x14ac:dyDescent="0.3">
      <c r="H3114" s="297" t="s">
        <v>80</v>
      </c>
      <c r="I3114" s="298"/>
      <c r="J3114" s="298"/>
      <c r="K3114" s="298"/>
      <c r="L3114" s="299"/>
      <c r="M3114" s="62">
        <f>SUM(M3104:M3113)</f>
        <v>250000</v>
      </c>
    </row>
    <row r="3115" spans="8:15" ht="16.5" thickBot="1" x14ac:dyDescent="0.3">
      <c r="H3115" s="300" t="s">
        <v>81</v>
      </c>
      <c r="I3115" s="301"/>
      <c r="J3115" s="301"/>
      <c r="K3115" s="301"/>
      <c r="L3115" s="302"/>
      <c r="M3115" s="63">
        <f>+M3079</f>
        <v>193321509</v>
      </c>
      <c r="N3115" s="64" t="s">
        <v>82</v>
      </c>
      <c r="O3115" s="65">
        <f>158+308+108</f>
        <v>574</v>
      </c>
    </row>
    <row r="3116" spans="8:15" ht="16.5" thickBot="1" x14ac:dyDescent="0.3">
      <c r="H3116" s="303" t="s">
        <v>83</v>
      </c>
      <c r="I3116" s="304"/>
      <c r="J3116" s="304"/>
      <c r="K3116" s="304"/>
      <c r="L3116" s="305"/>
      <c r="M3116" s="66">
        <f>SUM(M3114:M3115)</f>
        <v>193571509</v>
      </c>
    </row>
    <row r="3117" spans="8:15" x14ac:dyDescent="0.25">
      <c r="H3117" s="67"/>
      <c r="I3117" s="67"/>
      <c r="J3117" s="67"/>
      <c r="K3117" s="67"/>
      <c r="L3117" s="67"/>
    </row>
    <row r="3118" spans="8:15" x14ac:dyDescent="0.25">
      <c r="H3118" s="41" t="s">
        <v>951</v>
      </c>
    </row>
    <row r="3119" spans="8:15" ht="12.75" customHeight="1" x14ac:dyDescent="0.25">
      <c r="M3119" s="68"/>
    </row>
    <row r="3120" spans="8:15" x14ac:dyDescent="0.25">
      <c r="H3120" s="40" t="s">
        <v>86</v>
      </c>
      <c r="K3120" s="69"/>
      <c r="M3120" s="68"/>
    </row>
    <row r="3121" spans="8:14" ht="12.75" customHeight="1" thickBot="1" x14ac:dyDescent="0.3"/>
    <row r="3122" spans="8:14" ht="15.75" thickBot="1" x14ac:dyDescent="0.3">
      <c r="H3122" s="306" t="s">
        <v>87</v>
      </c>
      <c r="I3122" s="307"/>
      <c r="J3122" s="307"/>
      <c r="K3122" s="308"/>
      <c r="M3122" s="40" t="s">
        <v>89</v>
      </c>
    </row>
    <row r="3123" spans="8:14" ht="30.75" thickBot="1" x14ac:dyDescent="0.3">
      <c r="H3123" s="70" t="s">
        <v>62</v>
      </c>
      <c r="I3123" s="71" t="s">
        <v>90</v>
      </c>
      <c r="J3123" s="204" t="s">
        <v>91</v>
      </c>
      <c r="K3123" s="73" t="s">
        <v>92</v>
      </c>
    </row>
    <row r="3124" spans="8:14" x14ac:dyDescent="0.25">
      <c r="H3124" s="75">
        <v>719</v>
      </c>
      <c r="I3124" s="76">
        <f>+O3104+O3106+O3108+O3110</f>
        <v>250000</v>
      </c>
      <c r="J3124" s="77">
        <f>+K3087</f>
        <v>35290000</v>
      </c>
      <c r="K3124" s="79">
        <f>+I3124+J3124</f>
        <v>35540000</v>
      </c>
    </row>
    <row r="3125" spans="8:14" x14ac:dyDescent="0.25">
      <c r="H3125" s="80">
        <v>721</v>
      </c>
      <c r="I3125" s="81"/>
      <c r="J3125" s="77">
        <f>+K3088</f>
        <v>166826546</v>
      </c>
      <c r="K3125" s="79">
        <f>+I3125+J3125</f>
        <v>166826546</v>
      </c>
    </row>
    <row r="3126" spans="8:14" x14ac:dyDescent="0.25">
      <c r="H3126" s="80">
        <v>722</v>
      </c>
      <c r="I3126" s="81"/>
      <c r="J3126" s="77">
        <f>+K3089</f>
        <v>5580000</v>
      </c>
      <c r="K3126" s="79">
        <f>+I3126+J3126</f>
        <v>5580000</v>
      </c>
    </row>
    <row r="3127" spans="8:14" ht="15.75" x14ac:dyDescent="0.25">
      <c r="H3127" s="80">
        <v>723</v>
      </c>
      <c r="I3127" s="81">
        <f>+O3111</f>
        <v>0</v>
      </c>
      <c r="J3127" s="77">
        <f>+K3090</f>
        <v>1350000</v>
      </c>
      <c r="K3127" s="79">
        <f>+I3127+J3127</f>
        <v>1350000</v>
      </c>
      <c r="M3127" s="109" t="s">
        <v>304</v>
      </c>
      <c r="N3127" s="84"/>
    </row>
    <row r="3128" spans="8:14" ht="16.5" thickBot="1" x14ac:dyDescent="0.3">
      <c r="H3128" s="85" t="s">
        <v>854</v>
      </c>
      <c r="I3128" s="86"/>
      <c r="J3128" s="77" t="e">
        <f>+K3091</f>
        <v>#REF!</v>
      </c>
      <c r="K3128" s="89" t="e">
        <f>+I3128+J3128</f>
        <v>#REF!</v>
      </c>
      <c r="M3128" s="45"/>
    </row>
    <row r="3129" spans="8:14" ht="16.5" thickBot="1" x14ac:dyDescent="0.3">
      <c r="H3129" s="90"/>
      <c r="I3129" s="94">
        <f>SUM(I3124:I3128)</f>
        <v>250000</v>
      </c>
      <c r="J3129" s="94" t="e">
        <f>SUM(J3124:J3128)</f>
        <v>#REF!</v>
      </c>
      <c r="K3129" s="95" t="e">
        <f>SUM(K3124:K3128)</f>
        <v>#REF!</v>
      </c>
    </row>
    <row r="3130" spans="8:14" ht="16.5" x14ac:dyDescent="0.25">
      <c r="H3130" s="39" t="s">
        <v>46</v>
      </c>
      <c r="I3130" s="40"/>
    </row>
    <row r="3131" spans="8:14" x14ac:dyDescent="0.25">
      <c r="H3131" s="41" t="s">
        <v>47</v>
      </c>
    </row>
    <row r="3132" spans="8:14" x14ac:dyDescent="0.25">
      <c r="H3132" s="41" t="s">
        <v>48</v>
      </c>
    </row>
    <row r="3133" spans="8:14" x14ac:dyDescent="0.25">
      <c r="H3133" s="41" t="s">
        <v>49</v>
      </c>
    </row>
    <row r="3134" spans="8:14" ht="12" customHeight="1" x14ac:dyDescent="0.25">
      <c r="H3134" s="40"/>
      <c r="I3134" s="40"/>
    </row>
    <row r="3135" spans="8:14" ht="15.75" x14ac:dyDescent="0.25">
      <c r="H3135" s="188" t="s">
        <v>952</v>
      </c>
      <c r="N3135" s="45"/>
    </row>
    <row r="3136" spans="8:14" ht="15.75" x14ac:dyDescent="0.25">
      <c r="H3136" s="47" t="s">
        <v>704</v>
      </c>
      <c r="N3136" s="47"/>
    </row>
    <row r="3137" spans="8:15" ht="16.5" x14ac:dyDescent="0.25">
      <c r="H3137" s="326" t="s">
        <v>953</v>
      </c>
      <c r="I3137" s="326"/>
      <c r="J3137" s="326"/>
      <c r="K3137" s="326"/>
      <c r="L3137" s="326"/>
      <c r="M3137" s="326"/>
      <c r="N3137" s="326"/>
      <c r="O3137" s="326"/>
    </row>
    <row r="3138" spans="8:15" ht="15.75" thickBot="1" x14ac:dyDescent="0.3"/>
    <row r="3139" spans="8:15" x14ac:dyDescent="0.25">
      <c r="H3139" s="327" t="s">
        <v>56</v>
      </c>
      <c r="I3139" s="322" t="s">
        <v>57</v>
      </c>
      <c r="J3139" s="322" t="s">
        <v>58</v>
      </c>
      <c r="K3139" s="322" t="s">
        <v>7</v>
      </c>
      <c r="L3139" s="322" t="s">
        <v>59</v>
      </c>
      <c r="M3139" s="322" t="s">
        <v>60</v>
      </c>
      <c r="N3139" s="322" t="s">
        <v>61</v>
      </c>
      <c r="O3139" s="324"/>
    </row>
    <row r="3140" spans="8:15" ht="15.75" thickBot="1" x14ac:dyDescent="0.3">
      <c r="H3140" s="328"/>
      <c r="I3140" s="323"/>
      <c r="J3140" s="323"/>
      <c r="K3140" s="323"/>
      <c r="L3140" s="323"/>
      <c r="M3140" s="323"/>
      <c r="N3140" s="51" t="s">
        <v>62</v>
      </c>
      <c r="O3140" s="52" t="s">
        <v>63</v>
      </c>
    </row>
    <row r="3141" spans="8:15" x14ac:dyDescent="0.25">
      <c r="H3141" s="318">
        <v>334</v>
      </c>
      <c r="I3141" s="312">
        <v>42704</v>
      </c>
      <c r="J3141" s="314" t="s">
        <v>221</v>
      </c>
      <c r="K3141" s="316" t="s">
        <v>954</v>
      </c>
      <c r="L3141" s="318" t="s">
        <v>5</v>
      </c>
      <c r="M3141" s="320">
        <v>65000</v>
      </c>
      <c r="N3141" s="53">
        <v>719</v>
      </c>
      <c r="O3141" s="54">
        <v>50000</v>
      </c>
    </row>
    <row r="3142" spans="8:15" ht="15.75" thickBot="1" x14ac:dyDescent="0.3">
      <c r="H3142" s="319"/>
      <c r="I3142" s="313"/>
      <c r="J3142" s="315"/>
      <c r="K3142" s="317"/>
      <c r="L3142" s="319"/>
      <c r="M3142" s="321"/>
      <c r="N3142" s="55">
        <v>721</v>
      </c>
      <c r="O3142" s="56">
        <f>+M3141-O3141</f>
        <v>15000</v>
      </c>
    </row>
    <row r="3143" spans="8:15" ht="15" customHeight="1" x14ac:dyDescent="0.25">
      <c r="H3143" s="318">
        <v>335</v>
      </c>
      <c r="I3143" s="312">
        <v>42704</v>
      </c>
      <c r="J3143" s="314" t="s">
        <v>70</v>
      </c>
      <c r="K3143" s="316" t="s">
        <v>955</v>
      </c>
      <c r="L3143" s="318" t="s">
        <v>5</v>
      </c>
      <c r="M3143" s="320">
        <v>390000</v>
      </c>
      <c r="N3143" s="53">
        <v>719</v>
      </c>
      <c r="O3143" s="54">
        <v>300000</v>
      </c>
    </row>
    <row r="3144" spans="8:15" ht="15.75" customHeight="1" thickBot="1" x14ac:dyDescent="0.3">
      <c r="H3144" s="319"/>
      <c r="I3144" s="313"/>
      <c r="J3144" s="315"/>
      <c r="K3144" s="317"/>
      <c r="L3144" s="319"/>
      <c r="M3144" s="321"/>
      <c r="N3144" s="55">
        <v>721</v>
      </c>
      <c r="O3144" s="56">
        <f>+M3143-O3143</f>
        <v>90000</v>
      </c>
    </row>
    <row r="3145" spans="8:15" ht="15" customHeight="1" x14ac:dyDescent="0.25">
      <c r="H3145" s="318">
        <v>336</v>
      </c>
      <c r="I3145" s="312">
        <v>42704</v>
      </c>
      <c r="J3145" s="314" t="s">
        <v>231</v>
      </c>
      <c r="K3145" s="316" t="s">
        <v>956</v>
      </c>
      <c r="L3145" s="318" t="s">
        <v>5</v>
      </c>
      <c r="M3145" s="320">
        <v>104000</v>
      </c>
      <c r="N3145" s="53">
        <v>719</v>
      </c>
      <c r="O3145" s="54">
        <v>80000</v>
      </c>
    </row>
    <row r="3146" spans="8:15" ht="15.75" customHeight="1" thickBot="1" x14ac:dyDescent="0.3">
      <c r="H3146" s="319"/>
      <c r="I3146" s="313"/>
      <c r="J3146" s="315"/>
      <c r="K3146" s="317"/>
      <c r="L3146" s="319"/>
      <c r="M3146" s="321"/>
      <c r="N3146" s="55">
        <v>721</v>
      </c>
      <c r="O3146" s="56">
        <f>+M3145-O3145</f>
        <v>24000</v>
      </c>
    </row>
    <row r="3147" spans="8:15" ht="15" customHeight="1" x14ac:dyDescent="0.25">
      <c r="H3147" s="318">
        <v>337</v>
      </c>
      <c r="I3147" s="312">
        <v>42704</v>
      </c>
      <c r="J3147" s="314" t="s">
        <v>798</v>
      </c>
      <c r="K3147" s="316" t="s">
        <v>957</v>
      </c>
      <c r="L3147" s="318" t="s">
        <v>5</v>
      </c>
      <c r="M3147" s="320">
        <v>676000</v>
      </c>
      <c r="N3147" s="53">
        <v>719</v>
      </c>
      <c r="O3147" s="54">
        <v>520000</v>
      </c>
    </row>
    <row r="3148" spans="8:15" ht="15.75" customHeight="1" thickBot="1" x14ac:dyDescent="0.3">
      <c r="H3148" s="319"/>
      <c r="I3148" s="313"/>
      <c r="J3148" s="315"/>
      <c r="K3148" s="317"/>
      <c r="L3148" s="319"/>
      <c r="M3148" s="321"/>
      <c r="N3148" s="55">
        <v>721</v>
      </c>
      <c r="O3148" s="56">
        <f>+M3147-O3147</f>
        <v>156000</v>
      </c>
    </row>
    <row r="3149" spans="8:15" ht="15" customHeight="1" x14ac:dyDescent="0.25">
      <c r="H3149" s="318">
        <v>338</v>
      </c>
      <c r="I3149" s="312">
        <v>42704</v>
      </c>
      <c r="J3149" s="314" t="s">
        <v>958</v>
      </c>
      <c r="K3149" s="316" t="s">
        <v>632</v>
      </c>
      <c r="L3149" s="318" t="s">
        <v>5</v>
      </c>
      <c r="M3149" s="320">
        <v>6240000</v>
      </c>
      <c r="N3149" s="53">
        <v>719</v>
      </c>
      <c r="O3149" s="54">
        <v>0</v>
      </c>
    </row>
    <row r="3150" spans="8:15" ht="15.75" customHeight="1" thickBot="1" x14ac:dyDescent="0.3">
      <c r="H3150" s="319"/>
      <c r="I3150" s="313"/>
      <c r="J3150" s="315"/>
      <c r="K3150" s="317"/>
      <c r="L3150" s="319"/>
      <c r="M3150" s="321"/>
      <c r="N3150" s="55">
        <v>723</v>
      </c>
      <c r="O3150" s="56">
        <f>+M3149-O3149</f>
        <v>6240000</v>
      </c>
    </row>
    <row r="3151" spans="8:15" ht="16.5" thickBot="1" x14ac:dyDescent="0.3">
      <c r="H3151" s="297" t="s">
        <v>80</v>
      </c>
      <c r="I3151" s="298"/>
      <c r="J3151" s="298"/>
      <c r="K3151" s="298"/>
      <c r="L3151" s="299"/>
      <c r="M3151" s="62">
        <f>SUM(M3141:M3150)</f>
        <v>7475000</v>
      </c>
    </row>
    <row r="3152" spans="8:15" ht="16.5" thickBot="1" x14ac:dyDescent="0.3">
      <c r="H3152" s="300" t="s">
        <v>81</v>
      </c>
      <c r="I3152" s="301"/>
      <c r="J3152" s="301"/>
      <c r="K3152" s="301"/>
      <c r="L3152" s="302"/>
      <c r="M3152" s="63">
        <f>+M3116</f>
        <v>193571509</v>
      </c>
      <c r="N3152" s="64" t="s">
        <v>82</v>
      </c>
      <c r="O3152" s="65">
        <f>33+37+514+915</f>
        <v>1499</v>
      </c>
    </row>
    <row r="3153" spans="8:14" ht="16.5" thickBot="1" x14ac:dyDescent="0.3">
      <c r="H3153" s="303" t="s">
        <v>83</v>
      </c>
      <c r="I3153" s="304"/>
      <c r="J3153" s="304"/>
      <c r="K3153" s="304"/>
      <c r="L3153" s="305"/>
      <c r="M3153" s="66">
        <f>SUM(M3151:M3152)</f>
        <v>201046509</v>
      </c>
    </row>
    <row r="3154" spans="8:14" ht="12.75" customHeight="1" x14ac:dyDescent="0.25">
      <c r="H3154" s="67"/>
      <c r="I3154" s="67"/>
      <c r="J3154" s="67"/>
      <c r="K3154" s="67"/>
      <c r="L3154" s="67"/>
    </row>
    <row r="3155" spans="8:14" x14ac:dyDescent="0.25">
      <c r="H3155" s="41" t="s">
        <v>959</v>
      </c>
    </row>
    <row r="3156" spans="8:14" ht="13.5" customHeight="1" x14ac:dyDescent="0.25">
      <c r="M3156" s="68"/>
    </row>
    <row r="3157" spans="8:14" x14ac:dyDescent="0.25">
      <c r="H3157" s="40" t="s">
        <v>86</v>
      </c>
      <c r="K3157" s="69"/>
      <c r="M3157" s="68"/>
    </row>
    <row r="3158" spans="8:14" ht="13.5" customHeight="1" thickBot="1" x14ac:dyDescent="0.3"/>
    <row r="3159" spans="8:14" ht="15.75" thickBot="1" x14ac:dyDescent="0.3">
      <c r="H3159" s="306" t="s">
        <v>87</v>
      </c>
      <c r="I3159" s="307"/>
      <c r="J3159" s="307"/>
      <c r="K3159" s="308"/>
      <c r="M3159" s="40" t="s">
        <v>89</v>
      </c>
    </row>
    <row r="3160" spans="8:14" ht="30.75" thickBot="1" x14ac:dyDescent="0.3">
      <c r="H3160" s="70" t="s">
        <v>62</v>
      </c>
      <c r="I3160" s="71" t="s">
        <v>90</v>
      </c>
      <c r="J3160" s="204" t="s">
        <v>91</v>
      </c>
      <c r="K3160" s="73" t="s">
        <v>92</v>
      </c>
    </row>
    <row r="3161" spans="8:14" x14ac:dyDescent="0.25">
      <c r="H3161" s="75">
        <v>719</v>
      </c>
      <c r="I3161" s="76">
        <f>+O3141+O3143+O3145+O3147</f>
        <v>950000</v>
      </c>
      <c r="J3161" s="77">
        <f>+K3124</f>
        <v>35540000</v>
      </c>
      <c r="K3161" s="79">
        <f>+I3161+J3161</f>
        <v>36490000</v>
      </c>
    </row>
    <row r="3162" spans="8:14" x14ac:dyDescent="0.25">
      <c r="H3162" s="80">
        <v>721</v>
      </c>
      <c r="I3162" s="81">
        <f>+O3148+O3146+O3144+O3142</f>
        <v>285000</v>
      </c>
      <c r="J3162" s="77">
        <f>+K3125</f>
        <v>166826546</v>
      </c>
      <c r="K3162" s="79">
        <f>+I3162+J3162</f>
        <v>167111546</v>
      </c>
    </row>
    <row r="3163" spans="8:14" x14ac:dyDescent="0.25">
      <c r="H3163" s="80">
        <v>722</v>
      </c>
      <c r="I3163" s="81"/>
      <c r="J3163" s="77">
        <f>+K3126</f>
        <v>5580000</v>
      </c>
      <c r="K3163" s="79">
        <f>+I3163+J3163</f>
        <v>5580000</v>
      </c>
    </row>
    <row r="3164" spans="8:14" ht="15.75" x14ac:dyDescent="0.25">
      <c r="H3164" s="80">
        <v>723</v>
      </c>
      <c r="I3164" s="81">
        <f>+O3150</f>
        <v>6240000</v>
      </c>
      <c r="J3164" s="77">
        <f>+K3127</f>
        <v>1350000</v>
      </c>
      <c r="K3164" s="79">
        <f>+I3164+J3164</f>
        <v>7590000</v>
      </c>
      <c r="M3164" s="109" t="s">
        <v>304</v>
      </c>
      <c r="N3164" s="84"/>
    </row>
    <row r="3165" spans="8:14" ht="16.5" thickBot="1" x14ac:dyDescent="0.3">
      <c r="H3165" s="85" t="s">
        <v>854</v>
      </c>
      <c r="I3165" s="86"/>
      <c r="J3165" s="77" t="e">
        <f>+K3128</f>
        <v>#REF!</v>
      </c>
      <c r="K3165" s="89" t="e">
        <f>+I3165+J3165</f>
        <v>#REF!</v>
      </c>
      <c r="M3165" s="45"/>
    </row>
    <row r="3166" spans="8:14" ht="16.5" thickBot="1" x14ac:dyDescent="0.3">
      <c r="H3166" s="90"/>
      <c r="I3166" s="94">
        <f>SUM(I3161:I3165)</f>
        <v>7475000</v>
      </c>
      <c r="J3166" s="94" t="e">
        <f>SUM(J3161:J3165)</f>
        <v>#REF!</v>
      </c>
      <c r="K3166" s="95" t="e">
        <f>SUM(K3161:K3165)</f>
        <v>#REF!</v>
      </c>
    </row>
    <row r="3167" spans="8:14" ht="16.5" x14ac:dyDescent="0.25">
      <c r="H3167" s="39" t="s">
        <v>46</v>
      </c>
      <c r="I3167" s="40"/>
    </row>
    <row r="3168" spans="8:14" x14ac:dyDescent="0.25">
      <c r="H3168" s="41" t="s">
        <v>47</v>
      </c>
      <c r="K3168" s="68"/>
    </row>
    <row r="3169" spans="8:15" x14ac:dyDescent="0.25">
      <c r="H3169" s="41" t="s">
        <v>48</v>
      </c>
    </row>
    <row r="3170" spans="8:15" x14ac:dyDescent="0.25">
      <c r="H3170" s="41" t="s">
        <v>49</v>
      </c>
    </row>
    <row r="3171" spans="8:15" ht="9.75" customHeight="1" x14ac:dyDescent="0.25">
      <c r="H3171" s="40"/>
      <c r="I3171" s="40"/>
    </row>
    <row r="3172" spans="8:15" ht="15.75" x14ac:dyDescent="0.25">
      <c r="H3172" s="188" t="s">
        <v>960</v>
      </c>
      <c r="N3172" s="45"/>
    </row>
    <row r="3173" spans="8:15" ht="15.75" x14ac:dyDescent="0.25">
      <c r="H3173" s="47" t="s">
        <v>704</v>
      </c>
      <c r="N3173" s="47"/>
    </row>
    <row r="3174" spans="8:15" ht="16.5" x14ac:dyDescent="0.25">
      <c r="H3174" s="326" t="s">
        <v>961</v>
      </c>
      <c r="I3174" s="326"/>
      <c r="J3174" s="326"/>
      <c r="K3174" s="326"/>
      <c r="L3174" s="326"/>
      <c r="M3174" s="326"/>
      <c r="N3174" s="326"/>
      <c r="O3174" s="326"/>
    </row>
    <row r="3175" spans="8:15" ht="13.5" customHeight="1" thickBot="1" x14ac:dyDescent="0.3"/>
    <row r="3176" spans="8:15" x14ac:dyDescent="0.25">
      <c r="H3176" s="327" t="s">
        <v>56</v>
      </c>
      <c r="I3176" s="322" t="s">
        <v>57</v>
      </c>
      <c r="J3176" s="322" t="s">
        <v>58</v>
      </c>
      <c r="K3176" s="322" t="s">
        <v>7</v>
      </c>
      <c r="L3176" s="322" t="s">
        <v>59</v>
      </c>
      <c r="M3176" s="322" t="s">
        <v>60</v>
      </c>
      <c r="N3176" s="322" t="s">
        <v>61</v>
      </c>
      <c r="O3176" s="324"/>
    </row>
    <row r="3177" spans="8:15" ht="15.75" thickBot="1" x14ac:dyDescent="0.3">
      <c r="H3177" s="328"/>
      <c r="I3177" s="323"/>
      <c r="J3177" s="323"/>
      <c r="K3177" s="323"/>
      <c r="L3177" s="323"/>
      <c r="M3177" s="323"/>
      <c r="N3177" s="51" t="s">
        <v>62</v>
      </c>
      <c r="O3177" s="52" t="s">
        <v>63</v>
      </c>
    </row>
    <row r="3178" spans="8:15" ht="13.5" customHeight="1" x14ac:dyDescent="0.25">
      <c r="H3178" s="318">
        <v>339</v>
      </c>
      <c r="I3178" s="312">
        <v>42712</v>
      </c>
      <c r="J3178" s="314" t="s">
        <v>798</v>
      </c>
      <c r="K3178" s="316" t="s">
        <v>962</v>
      </c>
      <c r="L3178" s="318" t="s">
        <v>66</v>
      </c>
      <c r="M3178" s="320">
        <v>80000</v>
      </c>
      <c r="N3178" s="53">
        <v>719</v>
      </c>
      <c r="O3178" s="54">
        <v>80000</v>
      </c>
    </row>
    <row r="3179" spans="8:15" ht="13.5" customHeight="1" thickBot="1" x14ac:dyDescent="0.3">
      <c r="H3179" s="319"/>
      <c r="I3179" s="313"/>
      <c r="J3179" s="315"/>
      <c r="K3179" s="317"/>
      <c r="L3179" s="319"/>
      <c r="M3179" s="321"/>
      <c r="N3179" s="55">
        <v>721</v>
      </c>
      <c r="O3179" s="56">
        <f>+M3178-O3178</f>
        <v>0</v>
      </c>
    </row>
    <row r="3180" spans="8:15" ht="14.25" customHeight="1" x14ac:dyDescent="0.25">
      <c r="H3180" s="318">
        <v>340</v>
      </c>
      <c r="I3180" s="312">
        <v>42712</v>
      </c>
      <c r="J3180" s="314" t="s">
        <v>251</v>
      </c>
      <c r="K3180" s="316" t="s">
        <v>962</v>
      </c>
      <c r="L3180" s="318" t="s">
        <v>66</v>
      </c>
      <c r="M3180" s="320">
        <v>140000</v>
      </c>
      <c r="N3180" s="53">
        <v>719</v>
      </c>
      <c r="O3180" s="54">
        <v>140000</v>
      </c>
    </row>
    <row r="3181" spans="8:15" ht="14.25" customHeight="1" thickBot="1" x14ac:dyDescent="0.3">
      <c r="H3181" s="319"/>
      <c r="I3181" s="313"/>
      <c r="J3181" s="315"/>
      <c r="K3181" s="317"/>
      <c r="L3181" s="319"/>
      <c r="M3181" s="321"/>
      <c r="N3181" s="55">
        <v>721</v>
      </c>
      <c r="O3181" s="56">
        <f>+M3180-O3180</f>
        <v>0</v>
      </c>
    </row>
    <row r="3182" spans="8:15" ht="12.75" customHeight="1" x14ac:dyDescent="0.25">
      <c r="H3182" s="318">
        <v>341</v>
      </c>
      <c r="I3182" s="312">
        <v>42712</v>
      </c>
      <c r="J3182" s="314" t="s">
        <v>70</v>
      </c>
      <c r="K3182" s="316" t="s">
        <v>962</v>
      </c>
      <c r="L3182" s="318" t="s">
        <v>66</v>
      </c>
      <c r="M3182" s="320">
        <v>60000</v>
      </c>
      <c r="N3182" s="53">
        <v>719</v>
      </c>
      <c r="O3182" s="54">
        <v>60000</v>
      </c>
    </row>
    <row r="3183" spans="8:15" ht="13.5" customHeight="1" thickBot="1" x14ac:dyDescent="0.3">
      <c r="H3183" s="319"/>
      <c r="I3183" s="313"/>
      <c r="J3183" s="315"/>
      <c r="K3183" s="317"/>
      <c r="L3183" s="319"/>
      <c r="M3183" s="321"/>
      <c r="N3183" s="55">
        <v>721</v>
      </c>
      <c r="O3183" s="56">
        <f>+M3182-O3182</f>
        <v>0</v>
      </c>
    </row>
    <row r="3184" spans="8:15" ht="13.5" customHeight="1" x14ac:dyDescent="0.25">
      <c r="H3184" s="318">
        <v>342</v>
      </c>
      <c r="I3184" s="312">
        <v>42712</v>
      </c>
      <c r="J3184" s="314" t="s">
        <v>911</v>
      </c>
      <c r="K3184" s="316" t="s">
        <v>963</v>
      </c>
      <c r="L3184" s="318" t="s">
        <v>5</v>
      </c>
      <c r="M3184" s="320">
        <v>6287553</v>
      </c>
      <c r="N3184" s="53">
        <v>719</v>
      </c>
      <c r="O3184" s="54"/>
    </row>
    <row r="3185" spans="8:15" ht="15.75" customHeight="1" thickBot="1" x14ac:dyDescent="0.3">
      <c r="H3185" s="319"/>
      <c r="I3185" s="313"/>
      <c r="J3185" s="315"/>
      <c r="K3185" s="317"/>
      <c r="L3185" s="319"/>
      <c r="M3185" s="321"/>
      <c r="N3185" s="55">
        <v>723</v>
      </c>
      <c r="O3185" s="56">
        <f>+M3184-O3184</f>
        <v>6287553</v>
      </c>
    </row>
    <row r="3186" spans="8:15" ht="14.25" customHeight="1" x14ac:dyDescent="0.25">
      <c r="H3186" s="318">
        <v>343</v>
      </c>
      <c r="I3186" s="312">
        <v>42712</v>
      </c>
      <c r="J3186" s="314" t="s">
        <v>858</v>
      </c>
      <c r="K3186" s="316" t="s">
        <v>964</v>
      </c>
      <c r="L3186" s="318" t="s">
        <v>5</v>
      </c>
      <c r="M3186" s="320">
        <v>5345430</v>
      </c>
      <c r="N3186" s="53">
        <v>719</v>
      </c>
      <c r="O3186" s="54">
        <v>0</v>
      </c>
    </row>
    <row r="3187" spans="8:15" ht="14.25" customHeight="1" thickBot="1" x14ac:dyDescent="0.3">
      <c r="H3187" s="319"/>
      <c r="I3187" s="313"/>
      <c r="J3187" s="315"/>
      <c r="K3187" s="317"/>
      <c r="L3187" s="319"/>
      <c r="M3187" s="321"/>
      <c r="N3187" s="55">
        <v>721</v>
      </c>
      <c r="O3187" s="206">
        <f>+M3186-O3186</f>
        <v>5345430</v>
      </c>
    </row>
    <row r="3188" spans="8:15" ht="13.5" customHeight="1" x14ac:dyDescent="0.25">
      <c r="H3188" s="318">
        <v>344</v>
      </c>
      <c r="I3188" s="312">
        <v>42712</v>
      </c>
      <c r="J3188" s="314" t="s">
        <v>858</v>
      </c>
      <c r="K3188" s="316" t="s">
        <v>637</v>
      </c>
      <c r="L3188" s="318" t="s">
        <v>5</v>
      </c>
      <c r="M3188" s="320">
        <v>64517844</v>
      </c>
      <c r="N3188" s="53">
        <v>719</v>
      </c>
      <c r="O3188" s="54">
        <v>0</v>
      </c>
    </row>
    <row r="3189" spans="8:15" ht="13.5" customHeight="1" thickBot="1" x14ac:dyDescent="0.3">
      <c r="H3189" s="319"/>
      <c r="I3189" s="313"/>
      <c r="J3189" s="315"/>
      <c r="K3189" s="317"/>
      <c r="L3189" s="319"/>
      <c r="M3189" s="321"/>
      <c r="N3189" s="55">
        <v>721</v>
      </c>
      <c r="O3189" s="206">
        <f>+M3188-O3188</f>
        <v>64517844</v>
      </c>
    </row>
    <row r="3190" spans="8:15" ht="16.5" thickBot="1" x14ac:dyDescent="0.3">
      <c r="H3190" s="297" t="s">
        <v>80</v>
      </c>
      <c r="I3190" s="298"/>
      <c r="J3190" s="298"/>
      <c r="K3190" s="298"/>
      <c r="L3190" s="299"/>
      <c r="M3190" s="62">
        <f>SUM(M3178:M3189)</f>
        <v>76430827</v>
      </c>
    </row>
    <row r="3191" spans="8:15" ht="16.5" thickBot="1" x14ac:dyDescent="0.3">
      <c r="H3191" s="300" t="s">
        <v>81</v>
      </c>
      <c r="I3191" s="301"/>
      <c r="J3191" s="301"/>
      <c r="K3191" s="301"/>
      <c r="L3191" s="302"/>
      <c r="M3191" s="63">
        <f>+M3153</f>
        <v>201046509</v>
      </c>
      <c r="N3191" s="64" t="s">
        <v>82</v>
      </c>
      <c r="O3191" s="65">
        <f>95+174+227</f>
        <v>496</v>
      </c>
    </row>
    <row r="3192" spans="8:15" ht="16.5" thickBot="1" x14ac:dyDescent="0.3">
      <c r="H3192" s="303" t="s">
        <v>83</v>
      </c>
      <c r="I3192" s="304"/>
      <c r="J3192" s="304"/>
      <c r="K3192" s="304"/>
      <c r="L3192" s="305"/>
      <c r="M3192" s="66">
        <f>SUM(M3190:M3191)</f>
        <v>277477336</v>
      </c>
    </row>
    <row r="3193" spans="8:15" ht="13.5" customHeight="1" x14ac:dyDescent="0.25">
      <c r="H3193" s="67"/>
      <c r="I3193" s="67"/>
      <c r="J3193" s="67"/>
      <c r="K3193" s="67"/>
      <c r="L3193" s="67"/>
    </row>
    <row r="3194" spans="8:15" x14ac:dyDescent="0.25">
      <c r="H3194" s="41" t="s">
        <v>965</v>
      </c>
    </row>
    <row r="3195" spans="8:15" ht="11.25" customHeight="1" x14ac:dyDescent="0.25">
      <c r="M3195" s="68"/>
    </row>
    <row r="3196" spans="8:15" x14ac:dyDescent="0.25">
      <c r="H3196" s="40" t="s">
        <v>86</v>
      </c>
      <c r="K3196" s="69"/>
      <c r="M3196" s="68"/>
    </row>
    <row r="3197" spans="8:15" ht="11.25" customHeight="1" thickBot="1" x14ac:dyDescent="0.3"/>
    <row r="3198" spans="8:15" ht="15.75" thickBot="1" x14ac:dyDescent="0.3">
      <c r="H3198" s="306" t="s">
        <v>87</v>
      </c>
      <c r="I3198" s="307"/>
      <c r="J3198" s="307"/>
      <c r="K3198" s="308"/>
      <c r="M3198" s="40" t="s">
        <v>874</v>
      </c>
    </row>
    <row r="3199" spans="8:15" ht="30.75" thickBot="1" x14ac:dyDescent="0.3">
      <c r="H3199" s="70" t="s">
        <v>62</v>
      </c>
      <c r="I3199" s="71" t="s">
        <v>90</v>
      </c>
      <c r="J3199" s="204" t="s">
        <v>91</v>
      </c>
      <c r="K3199" s="73" t="s">
        <v>92</v>
      </c>
    </row>
    <row r="3200" spans="8:15" x14ac:dyDescent="0.25">
      <c r="H3200" s="75">
        <v>719</v>
      </c>
      <c r="I3200" s="76">
        <f>+O3178+O3182+O3184+O3180</f>
        <v>280000</v>
      </c>
      <c r="J3200" s="77">
        <f>+K3161</f>
        <v>36490000</v>
      </c>
      <c r="K3200" s="79">
        <f>+I3200+J3200</f>
        <v>36770000</v>
      </c>
    </row>
    <row r="3201" spans="8:15" x14ac:dyDescent="0.25">
      <c r="H3201" s="80">
        <v>721</v>
      </c>
      <c r="I3201" s="81">
        <f>+O3189</f>
        <v>64517844</v>
      </c>
      <c r="J3201" s="77">
        <f>+K3162</f>
        <v>167111546</v>
      </c>
      <c r="K3201" s="79">
        <f>+I3201+J3201</f>
        <v>231629390</v>
      </c>
    </row>
    <row r="3202" spans="8:15" ht="13.5" customHeight="1" x14ac:dyDescent="0.25">
      <c r="H3202" s="80">
        <v>722</v>
      </c>
      <c r="I3202" s="81"/>
      <c r="J3202" s="77">
        <f>+K3163</f>
        <v>5580000</v>
      </c>
      <c r="K3202" s="79">
        <f>+I3202+J3202</f>
        <v>5580000</v>
      </c>
    </row>
    <row r="3203" spans="8:15" ht="14.25" customHeight="1" x14ac:dyDescent="0.25">
      <c r="H3203" s="80">
        <v>723</v>
      </c>
      <c r="I3203" s="81">
        <f>+O3185+O3187</f>
        <v>11632983</v>
      </c>
      <c r="J3203" s="77">
        <f>+K3164</f>
        <v>7590000</v>
      </c>
      <c r="K3203" s="79">
        <f>+I3203+J3203</f>
        <v>19222983</v>
      </c>
      <c r="L3203" s="68"/>
      <c r="M3203" s="109" t="s">
        <v>875</v>
      </c>
      <c r="N3203" s="84"/>
    </row>
    <row r="3204" spans="8:15" ht="15" customHeight="1" thickBot="1" x14ac:dyDescent="0.3">
      <c r="H3204" s="85" t="s">
        <v>854</v>
      </c>
      <c r="I3204" s="86"/>
      <c r="J3204" s="77" t="e">
        <f>+K3165</f>
        <v>#REF!</v>
      </c>
      <c r="K3204" s="89" t="e">
        <f>+I3204+J3204</f>
        <v>#REF!</v>
      </c>
      <c r="M3204" s="45"/>
    </row>
    <row r="3205" spans="8:15" ht="16.5" thickBot="1" x14ac:dyDescent="0.3">
      <c r="H3205" s="90"/>
      <c r="I3205" s="94">
        <f>SUM(I3200:I3204)</f>
        <v>76430827</v>
      </c>
      <c r="J3205" s="94" t="e">
        <f>SUM(J3200:J3204)</f>
        <v>#REF!</v>
      </c>
      <c r="K3205" s="95" t="e">
        <f>SUM(K3200:K3204)</f>
        <v>#REF!</v>
      </c>
    </row>
    <row r="3206" spans="8:15" ht="16.5" x14ac:dyDescent="0.25">
      <c r="H3206" s="39" t="s">
        <v>46</v>
      </c>
      <c r="I3206" s="40"/>
    </row>
    <row r="3207" spans="8:15" x14ac:dyDescent="0.25">
      <c r="H3207" s="41" t="s">
        <v>47</v>
      </c>
    </row>
    <row r="3208" spans="8:15" x14ac:dyDescent="0.25">
      <c r="H3208" s="41" t="s">
        <v>48</v>
      </c>
    </row>
    <row r="3209" spans="8:15" x14ac:dyDescent="0.25">
      <c r="H3209" s="41" t="s">
        <v>49</v>
      </c>
    </row>
    <row r="3210" spans="8:15" ht="17.25" customHeight="1" x14ac:dyDescent="0.25">
      <c r="H3210" s="40"/>
      <c r="I3210" s="40"/>
    </row>
    <row r="3211" spans="8:15" ht="15.75" x14ac:dyDescent="0.25">
      <c r="H3211" s="188" t="s">
        <v>966</v>
      </c>
      <c r="N3211" s="45"/>
    </row>
    <row r="3212" spans="8:15" ht="18" customHeight="1" x14ac:dyDescent="0.25">
      <c r="H3212" s="47" t="s">
        <v>704</v>
      </c>
      <c r="N3212" s="47"/>
    </row>
    <row r="3213" spans="8:15" ht="16.5" x14ac:dyDescent="0.25">
      <c r="H3213" s="326" t="s">
        <v>545</v>
      </c>
      <c r="I3213" s="326"/>
      <c r="J3213" s="326"/>
      <c r="K3213" s="326"/>
      <c r="L3213" s="326"/>
      <c r="M3213" s="326"/>
      <c r="N3213" s="326"/>
      <c r="O3213" s="326"/>
    </row>
    <row r="3214" spans="8:15" ht="15.75" thickBot="1" x14ac:dyDescent="0.3"/>
    <row r="3215" spans="8:15" x14ac:dyDescent="0.25">
      <c r="H3215" s="327" t="s">
        <v>56</v>
      </c>
      <c r="I3215" s="322" t="s">
        <v>57</v>
      </c>
      <c r="J3215" s="322" t="s">
        <v>58</v>
      </c>
      <c r="K3215" s="322" t="s">
        <v>7</v>
      </c>
      <c r="L3215" s="322" t="s">
        <v>59</v>
      </c>
      <c r="M3215" s="322" t="s">
        <v>60</v>
      </c>
      <c r="N3215" s="322" t="s">
        <v>61</v>
      </c>
      <c r="O3215" s="324"/>
    </row>
    <row r="3216" spans="8:15" ht="15.75" thickBot="1" x14ac:dyDescent="0.3">
      <c r="H3216" s="328"/>
      <c r="I3216" s="323"/>
      <c r="J3216" s="323"/>
      <c r="K3216" s="323"/>
      <c r="L3216" s="323"/>
      <c r="M3216" s="323"/>
      <c r="N3216" s="51" t="s">
        <v>62</v>
      </c>
      <c r="O3216" s="52" t="s">
        <v>63</v>
      </c>
    </row>
    <row r="3217" spans="8:17" x14ac:dyDescent="0.25">
      <c r="H3217" s="318">
        <v>345</v>
      </c>
      <c r="I3217" s="312">
        <v>42725</v>
      </c>
      <c r="J3217" s="314" t="s">
        <v>798</v>
      </c>
      <c r="K3217" s="316" t="s">
        <v>967</v>
      </c>
      <c r="L3217" s="318" t="s">
        <v>66</v>
      </c>
      <c r="M3217" s="320">
        <v>160000</v>
      </c>
      <c r="N3217" s="53">
        <v>719</v>
      </c>
      <c r="O3217" s="54">
        <v>160000</v>
      </c>
    </row>
    <row r="3218" spans="8:17" ht="15.75" thickBot="1" x14ac:dyDescent="0.3">
      <c r="H3218" s="319"/>
      <c r="I3218" s="313"/>
      <c r="J3218" s="315"/>
      <c r="K3218" s="317"/>
      <c r="L3218" s="319"/>
      <c r="M3218" s="321"/>
      <c r="N3218" s="55">
        <v>721</v>
      </c>
      <c r="O3218" s="206">
        <f>+M3217-O3217</f>
        <v>0</v>
      </c>
    </row>
    <row r="3219" spans="8:17" ht="15" customHeight="1" x14ac:dyDescent="0.25">
      <c r="H3219" s="318">
        <f>+H3217+1</f>
        <v>346</v>
      </c>
      <c r="I3219" s="312">
        <v>42725</v>
      </c>
      <c r="J3219" s="314" t="s">
        <v>70</v>
      </c>
      <c r="K3219" s="316" t="s">
        <v>968</v>
      </c>
      <c r="L3219" s="318" t="s">
        <v>66</v>
      </c>
      <c r="M3219" s="320">
        <v>60000</v>
      </c>
      <c r="N3219" s="53">
        <v>722</v>
      </c>
      <c r="O3219" s="54">
        <v>60000</v>
      </c>
    </row>
    <row r="3220" spans="8:17" ht="15.75" customHeight="1" thickBot="1" x14ac:dyDescent="0.3">
      <c r="H3220" s="319"/>
      <c r="I3220" s="313"/>
      <c r="J3220" s="315"/>
      <c r="K3220" s="317"/>
      <c r="L3220" s="319"/>
      <c r="M3220" s="321"/>
      <c r="N3220" s="55">
        <v>721</v>
      </c>
      <c r="O3220" s="113">
        <f>+M3219-O3219</f>
        <v>0</v>
      </c>
    </row>
    <row r="3221" spans="8:17" ht="15" customHeight="1" x14ac:dyDescent="0.25">
      <c r="H3221" s="318">
        <f>+H3219+1</f>
        <v>347</v>
      </c>
      <c r="I3221" s="312">
        <v>42725</v>
      </c>
      <c r="J3221" s="314" t="s">
        <v>251</v>
      </c>
      <c r="K3221" s="316" t="s">
        <v>968</v>
      </c>
      <c r="L3221" s="318" t="s">
        <v>66</v>
      </c>
      <c r="M3221" s="320">
        <v>140000</v>
      </c>
      <c r="N3221" s="53">
        <v>722</v>
      </c>
      <c r="O3221" s="54">
        <v>140000</v>
      </c>
      <c r="Q3221" s="312"/>
    </row>
    <row r="3222" spans="8:17" ht="15.75" customHeight="1" thickBot="1" x14ac:dyDescent="0.3">
      <c r="H3222" s="319"/>
      <c r="I3222" s="313"/>
      <c r="J3222" s="315"/>
      <c r="K3222" s="317"/>
      <c r="L3222" s="319"/>
      <c r="M3222" s="321"/>
      <c r="N3222" s="55">
        <v>721</v>
      </c>
      <c r="O3222" s="113">
        <f>+M3221-O3221</f>
        <v>0</v>
      </c>
      <c r="Q3222" s="313"/>
    </row>
    <row r="3223" spans="8:17" ht="15" customHeight="1" x14ac:dyDescent="0.25">
      <c r="H3223" s="318"/>
      <c r="I3223" s="312"/>
      <c r="J3223" s="314"/>
      <c r="K3223" s="316"/>
      <c r="L3223" s="318"/>
      <c r="M3223" s="320"/>
      <c r="N3223" s="53">
        <v>722</v>
      </c>
      <c r="O3223" s="54"/>
    </row>
    <row r="3224" spans="8:17" ht="15.75" customHeight="1" thickBot="1" x14ac:dyDescent="0.3">
      <c r="H3224" s="319"/>
      <c r="I3224" s="313"/>
      <c r="J3224" s="315"/>
      <c r="K3224" s="317"/>
      <c r="L3224" s="319"/>
      <c r="M3224" s="321"/>
      <c r="N3224" s="55">
        <v>721</v>
      </c>
      <c r="O3224" s="56">
        <f>+M3223-O3223</f>
        <v>0</v>
      </c>
    </row>
    <row r="3225" spans="8:17" ht="16.5" thickBot="1" x14ac:dyDescent="0.3">
      <c r="H3225" s="297" t="s">
        <v>80</v>
      </c>
      <c r="I3225" s="298"/>
      <c r="J3225" s="298"/>
      <c r="K3225" s="298"/>
      <c r="L3225" s="299"/>
      <c r="M3225" s="62">
        <f>SUM(M3217:M3224)</f>
        <v>360000</v>
      </c>
    </row>
    <row r="3226" spans="8:17" ht="16.5" thickBot="1" x14ac:dyDescent="0.3">
      <c r="H3226" s="300" t="s">
        <v>81</v>
      </c>
      <c r="I3226" s="301"/>
      <c r="J3226" s="301"/>
      <c r="K3226" s="301"/>
      <c r="L3226" s="302"/>
      <c r="M3226" s="63">
        <f>+M3192</f>
        <v>277477336</v>
      </c>
      <c r="N3226" s="64" t="s">
        <v>82</v>
      </c>
      <c r="O3226" s="65">
        <f>108+107+310</f>
        <v>525</v>
      </c>
    </row>
    <row r="3227" spans="8:17" ht="16.5" thickBot="1" x14ac:dyDescent="0.3">
      <c r="H3227" s="303" t="s">
        <v>83</v>
      </c>
      <c r="I3227" s="304"/>
      <c r="J3227" s="304"/>
      <c r="K3227" s="304"/>
      <c r="L3227" s="305"/>
      <c r="M3227" s="66">
        <f>SUM(M3225:M3226)</f>
        <v>277837336</v>
      </c>
    </row>
    <row r="3228" spans="8:17" x14ac:dyDescent="0.25">
      <c r="H3228" s="67"/>
      <c r="I3228" s="67"/>
      <c r="J3228" s="67"/>
      <c r="K3228" s="67"/>
      <c r="L3228" s="67"/>
    </row>
    <row r="3229" spans="8:17" x14ac:dyDescent="0.25">
      <c r="H3229" s="41" t="s">
        <v>969</v>
      </c>
    </row>
    <row r="3230" spans="8:17" ht="19.5" customHeight="1" x14ac:dyDescent="0.25">
      <c r="M3230" s="68"/>
    </row>
    <row r="3231" spans="8:17" x14ac:dyDescent="0.25">
      <c r="H3231" s="40" t="s">
        <v>86</v>
      </c>
      <c r="K3231" s="69"/>
      <c r="M3231" s="68"/>
    </row>
    <row r="3232" spans="8:17" ht="15.75" thickBot="1" x14ac:dyDescent="0.3"/>
    <row r="3233" spans="8:15" ht="15.75" thickBot="1" x14ac:dyDescent="0.3">
      <c r="H3233" s="306" t="s">
        <v>87</v>
      </c>
      <c r="I3233" s="307"/>
      <c r="J3233" s="307"/>
      <c r="K3233" s="308"/>
      <c r="M3233" s="40" t="s">
        <v>89</v>
      </c>
    </row>
    <row r="3234" spans="8:15" ht="30.75" thickBot="1" x14ac:dyDescent="0.3">
      <c r="H3234" s="70" t="s">
        <v>62</v>
      </c>
      <c r="I3234" s="71" t="s">
        <v>90</v>
      </c>
      <c r="J3234" s="204" t="s">
        <v>91</v>
      </c>
      <c r="K3234" s="73" t="s">
        <v>92</v>
      </c>
    </row>
    <row r="3235" spans="8:15" x14ac:dyDescent="0.25">
      <c r="H3235" s="75">
        <v>719</v>
      </c>
      <c r="I3235" s="76">
        <f>+O3217+O3219+O3221+O3223</f>
        <v>360000</v>
      </c>
      <c r="J3235" s="77">
        <f>+K3200</f>
        <v>36770000</v>
      </c>
      <c r="K3235" s="79">
        <f>+I3235+J3235</f>
        <v>37130000</v>
      </c>
    </row>
    <row r="3236" spans="8:15" x14ac:dyDescent="0.25">
      <c r="H3236" s="80">
        <v>721</v>
      </c>
      <c r="I3236" s="81"/>
      <c r="J3236" s="77">
        <f>+K3201</f>
        <v>231629390</v>
      </c>
      <c r="K3236" s="79">
        <f>+I3236+J3236</f>
        <v>231629390</v>
      </c>
    </row>
    <row r="3237" spans="8:15" x14ac:dyDescent="0.25">
      <c r="H3237" s="80">
        <v>722</v>
      </c>
      <c r="I3237" s="81"/>
      <c r="J3237" s="77">
        <f>+K3202</f>
        <v>5580000</v>
      </c>
      <c r="K3237" s="79">
        <f>+I3237+J3237</f>
        <v>5580000</v>
      </c>
    </row>
    <row r="3238" spans="8:15" ht="15.75" x14ac:dyDescent="0.25">
      <c r="H3238" s="80">
        <v>723</v>
      </c>
      <c r="I3238" s="81"/>
      <c r="J3238" s="77">
        <f>+K3203</f>
        <v>19222983</v>
      </c>
      <c r="K3238" s="79">
        <f>+I3238+J3238</f>
        <v>19222983</v>
      </c>
      <c r="M3238" s="109" t="s">
        <v>304</v>
      </c>
      <c r="N3238" s="84"/>
    </row>
    <row r="3239" spans="8:15" ht="16.5" thickBot="1" x14ac:dyDescent="0.3">
      <c r="H3239" s="85" t="s">
        <v>854</v>
      </c>
      <c r="I3239" s="86"/>
      <c r="J3239" s="77" t="e">
        <f>+K3204</f>
        <v>#REF!</v>
      </c>
      <c r="K3239" s="89" t="e">
        <f>+I3239+J3239</f>
        <v>#REF!</v>
      </c>
      <c r="M3239" s="45"/>
    </row>
    <row r="3240" spans="8:15" ht="16.5" thickBot="1" x14ac:dyDescent="0.3">
      <c r="H3240" s="90"/>
      <c r="I3240" s="94">
        <f>SUM(I3235:I3239)</f>
        <v>360000</v>
      </c>
      <c r="J3240" s="94" t="e">
        <f>SUM(J3235:J3239)</f>
        <v>#REF!</v>
      </c>
      <c r="K3240" s="95" t="e">
        <f>SUM(K3235:K3239)</f>
        <v>#REF!</v>
      </c>
    </row>
    <row r="3241" spans="8:15" ht="16.5" x14ac:dyDescent="0.25">
      <c r="H3241" s="39" t="s">
        <v>46</v>
      </c>
      <c r="I3241" s="40"/>
    </row>
    <row r="3242" spans="8:15" x14ac:dyDescent="0.25">
      <c r="H3242" s="41" t="s">
        <v>47</v>
      </c>
    </row>
    <row r="3243" spans="8:15" x14ac:dyDescent="0.25">
      <c r="H3243" s="41" t="s">
        <v>48</v>
      </c>
    </row>
    <row r="3244" spans="8:15" x14ac:dyDescent="0.25">
      <c r="H3244" s="41" t="s">
        <v>49</v>
      </c>
    </row>
    <row r="3245" spans="8:15" ht="14.25" customHeight="1" x14ac:dyDescent="0.25">
      <c r="H3245" s="40"/>
      <c r="I3245" s="40"/>
    </row>
    <row r="3246" spans="8:15" ht="15.75" x14ac:dyDescent="0.25">
      <c r="H3246" s="188" t="s">
        <v>970</v>
      </c>
      <c r="N3246" s="45"/>
    </row>
    <row r="3247" spans="8:15" ht="15.75" x14ac:dyDescent="0.25">
      <c r="H3247" s="47" t="s">
        <v>704</v>
      </c>
      <c r="N3247" s="47"/>
    </row>
    <row r="3248" spans="8:15" ht="16.5" x14ac:dyDescent="0.25">
      <c r="H3248" s="326" t="s">
        <v>545</v>
      </c>
      <c r="I3248" s="326"/>
      <c r="J3248" s="326"/>
      <c r="K3248" s="326"/>
      <c r="L3248" s="326"/>
      <c r="M3248" s="326"/>
      <c r="N3248" s="326"/>
      <c r="O3248" s="326"/>
    </row>
    <row r="3249" spans="8:15" ht="15.75" thickBot="1" x14ac:dyDescent="0.3"/>
    <row r="3250" spans="8:15" x14ac:dyDescent="0.25">
      <c r="H3250" s="327" t="s">
        <v>56</v>
      </c>
      <c r="I3250" s="322" t="s">
        <v>57</v>
      </c>
      <c r="J3250" s="322" t="s">
        <v>58</v>
      </c>
      <c r="K3250" s="322" t="s">
        <v>7</v>
      </c>
      <c r="L3250" s="322" t="s">
        <v>59</v>
      </c>
      <c r="M3250" s="322" t="s">
        <v>60</v>
      </c>
      <c r="N3250" s="322" t="s">
        <v>61</v>
      </c>
      <c r="O3250" s="324"/>
    </row>
    <row r="3251" spans="8:15" ht="15.75" thickBot="1" x14ac:dyDescent="0.3">
      <c r="H3251" s="328"/>
      <c r="I3251" s="323"/>
      <c r="J3251" s="323"/>
      <c r="K3251" s="323"/>
      <c r="L3251" s="323"/>
      <c r="M3251" s="323"/>
      <c r="N3251" s="51" t="s">
        <v>62</v>
      </c>
      <c r="O3251" s="52" t="s">
        <v>63</v>
      </c>
    </row>
    <row r="3252" spans="8:15" x14ac:dyDescent="0.25">
      <c r="H3252" s="318">
        <v>348</v>
      </c>
      <c r="I3252" s="312">
        <v>42725</v>
      </c>
      <c r="J3252" s="314" t="s">
        <v>798</v>
      </c>
      <c r="K3252" s="316" t="s">
        <v>971</v>
      </c>
      <c r="L3252" s="318" t="s">
        <v>66</v>
      </c>
      <c r="M3252" s="320">
        <v>140000</v>
      </c>
      <c r="N3252" s="53">
        <v>719</v>
      </c>
      <c r="O3252" s="54">
        <v>140000</v>
      </c>
    </row>
    <row r="3253" spans="8:15" ht="15.75" thickBot="1" x14ac:dyDescent="0.3">
      <c r="H3253" s="319"/>
      <c r="I3253" s="313"/>
      <c r="J3253" s="315"/>
      <c r="K3253" s="317"/>
      <c r="L3253" s="319"/>
      <c r="M3253" s="321"/>
      <c r="N3253" s="55">
        <v>721</v>
      </c>
      <c r="O3253" s="206">
        <f>+M3252-O3252</f>
        <v>0</v>
      </c>
    </row>
    <row r="3254" spans="8:15" x14ac:dyDescent="0.25">
      <c r="H3254" s="318">
        <f>+H3252+1</f>
        <v>349</v>
      </c>
      <c r="I3254" s="312">
        <v>42725</v>
      </c>
      <c r="J3254" s="314" t="s">
        <v>70</v>
      </c>
      <c r="K3254" s="316" t="s">
        <v>972</v>
      </c>
      <c r="L3254" s="318" t="s">
        <v>66</v>
      </c>
      <c r="M3254" s="320">
        <v>50000</v>
      </c>
      <c r="N3254" s="53">
        <v>722</v>
      </c>
      <c r="O3254" s="54">
        <v>50000</v>
      </c>
    </row>
    <row r="3255" spans="8:15" ht="15.75" thickBot="1" x14ac:dyDescent="0.3">
      <c r="H3255" s="319"/>
      <c r="I3255" s="313"/>
      <c r="J3255" s="315"/>
      <c r="K3255" s="317"/>
      <c r="L3255" s="319"/>
      <c r="M3255" s="321"/>
      <c r="N3255" s="55">
        <v>721</v>
      </c>
      <c r="O3255" s="113"/>
    </row>
    <row r="3256" spans="8:15" x14ac:dyDescent="0.25">
      <c r="H3256" s="318">
        <f>+H3254+1</f>
        <v>350</v>
      </c>
      <c r="I3256" s="312">
        <v>42725</v>
      </c>
      <c r="J3256" s="314" t="s">
        <v>251</v>
      </c>
      <c r="K3256" s="316" t="s">
        <v>973</v>
      </c>
      <c r="L3256" s="318" t="s">
        <v>66</v>
      </c>
      <c r="M3256" s="320">
        <v>140000</v>
      </c>
      <c r="N3256" s="53">
        <v>722</v>
      </c>
      <c r="O3256" s="54">
        <v>140000</v>
      </c>
    </row>
    <row r="3257" spans="8:15" ht="15.75" thickBot="1" x14ac:dyDescent="0.3">
      <c r="H3257" s="319"/>
      <c r="I3257" s="313"/>
      <c r="J3257" s="315"/>
      <c r="K3257" s="317"/>
      <c r="L3257" s="319"/>
      <c r="M3257" s="321"/>
      <c r="N3257" s="55">
        <v>721</v>
      </c>
      <c r="O3257" s="113">
        <f>+M3256-O3256</f>
        <v>0</v>
      </c>
    </row>
    <row r="3258" spans="8:15" x14ac:dyDescent="0.25">
      <c r="H3258" s="318"/>
      <c r="I3258" s="312"/>
      <c r="J3258" s="314"/>
      <c r="K3258" s="316"/>
      <c r="L3258" s="318"/>
      <c r="M3258" s="320"/>
      <c r="N3258" s="53">
        <v>722</v>
      </c>
      <c r="O3258" s="54"/>
    </row>
    <row r="3259" spans="8:15" ht="15.75" thickBot="1" x14ac:dyDescent="0.3">
      <c r="H3259" s="319"/>
      <c r="I3259" s="313"/>
      <c r="J3259" s="315"/>
      <c r="K3259" s="317"/>
      <c r="L3259" s="319"/>
      <c r="M3259" s="321"/>
      <c r="N3259" s="55">
        <v>721</v>
      </c>
      <c r="O3259" s="56">
        <f>+M3258-O3258</f>
        <v>0</v>
      </c>
    </row>
    <row r="3260" spans="8:15" ht="16.5" thickBot="1" x14ac:dyDescent="0.3">
      <c r="H3260" s="297" t="s">
        <v>80</v>
      </c>
      <c r="I3260" s="298"/>
      <c r="J3260" s="298"/>
      <c r="K3260" s="298"/>
      <c r="L3260" s="299"/>
      <c r="M3260" s="62">
        <f>SUM(M3252:M3259)</f>
        <v>330000</v>
      </c>
    </row>
    <row r="3261" spans="8:15" ht="16.5" thickBot="1" x14ac:dyDescent="0.3">
      <c r="H3261" s="300" t="s">
        <v>81</v>
      </c>
      <c r="I3261" s="301"/>
      <c r="J3261" s="301"/>
      <c r="K3261" s="301"/>
      <c r="L3261" s="302"/>
      <c r="M3261" s="63">
        <f>+M3227</f>
        <v>277837336</v>
      </c>
      <c r="N3261" s="64" t="s">
        <v>82</v>
      </c>
      <c r="O3261" s="65">
        <f>404+83+122</f>
        <v>609</v>
      </c>
    </row>
    <row r="3262" spans="8:15" ht="16.5" thickBot="1" x14ac:dyDescent="0.3">
      <c r="H3262" s="303" t="s">
        <v>83</v>
      </c>
      <c r="I3262" s="304"/>
      <c r="J3262" s="304"/>
      <c r="K3262" s="304"/>
      <c r="L3262" s="305"/>
      <c r="M3262" s="66">
        <f>SUM(M3260:M3261)</f>
        <v>278167336</v>
      </c>
    </row>
    <row r="3263" spans="8:15" x14ac:dyDescent="0.25">
      <c r="H3263" s="67"/>
      <c r="I3263" s="67"/>
      <c r="J3263" s="67"/>
      <c r="K3263" s="67"/>
      <c r="L3263" s="67"/>
    </row>
    <row r="3264" spans="8:15" x14ac:dyDescent="0.25">
      <c r="H3264" s="41" t="s">
        <v>974</v>
      </c>
    </row>
    <row r="3265" spans="8:14" x14ac:dyDescent="0.25">
      <c r="M3265" s="68"/>
    </row>
    <row r="3266" spans="8:14" x14ac:dyDescent="0.25">
      <c r="H3266" s="40" t="s">
        <v>86</v>
      </c>
      <c r="K3266" s="69"/>
      <c r="M3266" s="68"/>
    </row>
    <row r="3267" spans="8:14" ht="15.75" thickBot="1" x14ac:dyDescent="0.3"/>
    <row r="3268" spans="8:14" ht="15.75" thickBot="1" x14ac:dyDescent="0.3">
      <c r="H3268" s="306" t="s">
        <v>87</v>
      </c>
      <c r="I3268" s="307"/>
      <c r="J3268" s="307"/>
      <c r="K3268" s="308"/>
      <c r="M3268" s="40" t="s">
        <v>89</v>
      </c>
    </row>
    <row r="3269" spans="8:14" ht="30.75" thickBot="1" x14ac:dyDescent="0.3">
      <c r="H3269" s="70" t="s">
        <v>62</v>
      </c>
      <c r="I3269" s="71" t="s">
        <v>90</v>
      </c>
      <c r="J3269" s="204" t="s">
        <v>91</v>
      </c>
      <c r="K3269" s="73" t="s">
        <v>92</v>
      </c>
    </row>
    <row r="3270" spans="8:14" x14ac:dyDescent="0.25">
      <c r="H3270" s="75">
        <v>719</v>
      </c>
      <c r="I3270" s="76">
        <f>+O3252+O3254+O3256+O3258</f>
        <v>330000</v>
      </c>
      <c r="J3270" s="77">
        <f>+K3235</f>
        <v>37130000</v>
      </c>
      <c r="K3270" s="79">
        <f>+I3270+J3270</f>
        <v>37460000</v>
      </c>
    </row>
    <row r="3271" spans="8:14" x14ac:dyDescent="0.25">
      <c r="H3271" s="80">
        <v>721</v>
      </c>
      <c r="I3271" s="81"/>
      <c r="J3271" s="77">
        <f>+K3236</f>
        <v>231629390</v>
      </c>
      <c r="K3271" s="79">
        <f>+I3271+J3271</f>
        <v>231629390</v>
      </c>
    </row>
    <row r="3272" spans="8:14" x14ac:dyDescent="0.25">
      <c r="H3272" s="80">
        <v>722</v>
      </c>
      <c r="I3272" s="81"/>
      <c r="J3272" s="77">
        <f>+K3237</f>
        <v>5580000</v>
      </c>
      <c r="K3272" s="79">
        <f>+I3272+J3272</f>
        <v>5580000</v>
      </c>
    </row>
    <row r="3273" spans="8:14" ht="15.75" x14ac:dyDescent="0.25">
      <c r="H3273" s="80">
        <v>723</v>
      </c>
      <c r="I3273" s="81"/>
      <c r="J3273" s="77">
        <f>+K3238</f>
        <v>19222983</v>
      </c>
      <c r="K3273" s="79">
        <f>+I3273+J3273</f>
        <v>19222983</v>
      </c>
      <c r="M3273" s="109" t="s">
        <v>304</v>
      </c>
      <c r="N3273" s="84"/>
    </row>
    <row r="3274" spans="8:14" ht="16.5" thickBot="1" x14ac:dyDescent="0.3">
      <c r="H3274" s="85" t="s">
        <v>854</v>
      </c>
      <c r="I3274" s="86"/>
      <c r="J3274" s="77" t="e">
        <f>+K3239</f>
        <v>#REF!</v>
      </c>
      <c r="K3274" s="89" t="e">
        <f>+I3274+J3274</f>
        <v>#REF!</v>
      </c>
      <c r="M3274" s="45"/>
    </row>
    <row r="3275" spans="8:14" ht="16.5" thickBot="1" x14ac:dyDescent="0.3">
      <c r="H3275" s="90"/>
      <c r="I3275" s="94">
        <f>SUM(I3270:I3274)</f>
        <v>330000</v>
      </c>
      <c r="J3275" s="94" t="e">
        <f>SUM(J3270:J3274)</f>
        <v>#REF!</v>
      </c>
      <c r="K3275" s="95" t="e">
        <f>SUM(K3270:K3274)</f>
        <v>#REF!</v>
      </c>
    </row>
    <row r="3277" spans="8:14" ht="16.5" x14ac:dyDescent="0.25">
      <c r="H3277" s="39" t="s">
        <v>46</v>
      </c>
      <c r="I3277" s="40"/>
    </row>
    <row r="3278" spans="8:14" x14ac:dyDescent="0.25">
      <c r="H3278" s="41" t="s">
        <v>47</v>
      </c>
    </row>
    <row r="3279" spans="8:14" x14ac:dyDescent="0.25">
      <c r="H3279" s="41" t="s">
        <v>48</v>
      </c>
    </row>
    <row r="3280" spans="8:14" x14ac:dyDescent="0.25">
      <c r="H3280" s="41" t="s">
        <v>49</v>
      </c>
    </row>
    <row r="3281" spans="8:15" x14ac:dyDescent="0.25">
      <c r="H3281" s="40"/>
      <c r="I3281" s="40"/>
    </row>
    <row r="3282" spans="8:15" ht="15.75" x14ac:dyDescent="0.25">
      <c r="H3282" s="188" t="s">
        <v>975</v>
      </c>
      <c r="N3282" s="45"/>
    </row>
    <row r="3283" spans="8:15" ht="15.75" x14ac:dyDescent="0.25">
      <c r="H3283" s="47" t="s">
        <v>704</v>
      </c>
      <c r="N3283" s="47"/>
    </row>
    <row r="3284" spans="8:15" ht="16.5" x14ac:dyDescent="0.25">
      <c r="H3284" s="326" t="s">
        <v>976</v>
      </c>
      <c r="I3284" s="326"/>
      <c r="J3284" s="326"/>
      <c r="K3284" s="326"/>
      <c r="L3284" s="326"/>
      <c r="M3284" s="326"/>
      <c r="N3284" s="326"/>
      <c r="O3284" s="326"/>
    </row>
    <row r="3285" spans="8:15" ht="15.75" thickBot="1" x14ac:dyDescent="0.3"/>
    <row r="3286" spans="8:15" x14ac:dyDescent="0.25">
      <c r="H3286" s="327" t="s">
        <v>56</v>
      </c>
      <c r="I3286" s="322" t="s">
        <v>57</v>
      </c>
      <c r="J3286" s="322" t="s">
        <v>58</v>
      </c>
      <c r="K3286" s="322" t="s">
        <v>7</v>
      </c>
      <c r="L3286" s="322" t="s">
        <v>59</v>
      </c>
      <c r="M3286" s="322" t="s">
        <v>60</v>
      </c>
      <c r="N3286" s="322" t="s">
        <v>61</v>
      </c>
      <c r="O3286" s="324"/>
    </row>
    <row r="3287" spans="8:15" ht="15.75" thickBot="1" x14ac:dyDescent="0.3">
      <c r="H3287" s="328"/>
      <c r="I3287" s="323"/>
      <c r="J3287" s="323"/>
      <c r="K3287" s="323"/>
      <c r="L3287" s="323"/>
      <c r="M3287" s="323"/>
      <c r="N3287" s="51" t="s">
        <v>62</v>
      </c>
      <c r="O3287" s="52" t="s">
        <v>63</v>
      </c>
    </row>
    <row r="3288" spans="8:15" ht="15" customHeight="1" x14ac:dyDescent="0.25">
      <c r="H3288" s="318">
        <v>351</v>
      </c>
      <c r="I3288" s="312">
        <v>42732</v>
      </c>
      <c r="J3288" s="314" t="s">
        <v>977</v>
      </c>
      <c r="K3288" s="316" t="s">
        <v>978</v>
      </c>
      <c r="L3288" s="318" t="s">
        <v>66</v>
      </c>
      <c r="M3288" s="320">
        <v>14718204</v>
      </c>
      <c r="N3288" s="53">
        <v>719</v>
      </c>
      <c r="O3288" s="54">
        <v>0</v>
      </c>
    </row>
    <row r="3289" spans="8:15" ht="15.75" thickBot="1" x14ac:dyDescent="0.3">
      <c r="H3289" s="319"/>
      <c r="I3289" s="313"/>
      <c r="J3289" s="325"/>
      <c r="K3289" s="317"/>
      <c r="L3289" s="319"/>
      <c r="M3289" s="321"/>
      <c r="N3289" s="55">
        <v>721</v>
      </c>
      <c r="O3289" s="206">
        <f>+M3288-O3288</f>
        <v>14718204</v>
      </c>
    </row>
    <row r="3290" spans="8:15" ht="15" customHeight="1" x14ac:dyDescent="0.25">
      <c r="H3290" s="318">
        <f>+H3288+1</f>
        <v>352</v>
      </c>
      <c r="I3290" s="312">
        <v>42732</v>
      </c>
      <c r="J3290" s="325"/>
      <c r="K3290" s="316" t="s">
        <v>979</v>
      </c>
      <c r="L3290" s="318" t="s">
        <v>66</v>
      </c>
      <c r="M3290" s="320">
        <v>3962065</v>
      </c>
      <c r="N3290" s="53">
        <v>722</v>
      </c>
      <c r="O3290" s="54">
        <v>0</v>
      </c>
    </row>
    <row r="3291" spans="8:15" ht="15.75" customHeight="1" thickBot="1" x14ac:dyDescent="0.3">
      <c r="H3291" s="319"/>
      <c r="I3291" s="313"/>
      <c r="J3291" s="315"/>
      <c r="K3291" s="317"/>
      <c r="L3291" s="319"/>
      <c r="M3291" s="321"/>
      <c r="N3291" s="55">
        <v>721</v>
      </c>
      <c r="O3291" s="113">
        <f>+M3290-O3290</f>
        <v>3962065</v>
      </c>
    </row>
    <row r="3292" spans="8:15" ht="15" customHeight="1" x14ac:dyDescent="0.25">
      <c r="H3292" s="318">
        <f>+H3290+1</f>
        <v>353</v>
      </c>
      <c r="I3292" s="312">
        <v>42732</v>
      </c>
      <c r="J3292" s="314" t="s">
        <v>798</v>
      </c>
      <c r="K3292" s="316" t="s">
        <v>980</v>
      </c>
      <c r="L3292" s="318" t="s">
        <v>66</v>
      </c>
      <c r="M3292" s="320">
        <v>90000</v>
      </c>
      <c r="N3292" s="53">
        <v>722</v>
      </c>
      <c r="O3292" s="54">
        <v>90000</v>
      </c>
    </row>
    <row r="3293" spans="8:15" ht="15.75" customHeight="1" thickBot="1" x14ac:dyDescent="0.3">
      <c r="H3293" s="319"/>
      <c r="I3293" s="313"/>
      <c r="J3293" s="315"/>
      <c r="K3293" s="317"/>
      <c r="L3293" s="319"/>
      <c r="M3293" s="321"/>
      <c r="N3293" s="55">
        <v>721</v>
      </c>
      <c r="O3293" s="113">
        <f>+M3292-O3292</f>
        <v>0</v>
      </c>
    </row>
    <row r="3294" spans="8:15" ht="15" customHeight="1" x14ac:dyDescent="0.25">
      <c r="H3294" s="318">
        <f>+H3292+1</f>
        <v>354</v>
      </c>
      <c r="I3294" s="312">
        <v>42732</v>
      </c>
      <c r="J3294" s="314" t="s">
        <v>251</v>
      </c>
      <c r="K3294" s="316" t="s">
        <v>981</v>
      </c>
      <c r="L3294" s="318" t="s">
        <v>66</v>
      </c>
      <c r="M3294" s="320">
        <v>60000</v>
      </c>
      <c r="N3294" s="53">
        <v>722</v>
      </c>
      <c r="O3294" s="54">
        <v>60000</v>
      </c>
    </row>
    <row r="3295" spans="8:15" ht="15.75" customHeight="1" thickBot="1" x14ac:dyDescent="0.3">
      <c r="H3295" s="319"/>
      <c r="I3295" s="313"/>
      <c r="J3295" s="315"/>
      <c r="K3295" s="317"/>
      <c r="L3295" s="319"/>
      <c r="M3295" s="321"/>
      <c r="N3295" s="55">
        <v>721</v>
      </c>
      <c r="O3295" s="56">
        <f>+M3294-O3294</f>
        <v>0</v>
      </c>
    </row>
    <row r="3296" spans="8:15" ht="16.5" thickBot="1" x14ac:dyDescent="0.3">
      <c r="H3296" s="297" t="s">
        <v>80</v>
      </c>
      <c r="I3296" s="298"/>
      <c r="J3296" s="298"/>
      <c r="K3296" s="298"/>
      <c r="L3296" s="299"/>
      <c r="M3296" s="62">
        <f>SUM(M3288:M3295)</f>
        <v>18830269</v>
      </c>
    </row>
    <row r="3297" spans="8:15" ht="16.5" thickBot="1" x14ac:dyDescent="0.3">
      <c r="H3297" s="300" t="s">
        <v>81</v>
      </c>
      <c r="I3297" s="301"/>
      <c r="J3297" s="301"/>
      <c r="K3297" s="301"/>
      <c r="L3297" s="302"/>
      <c r="M3297" s="63">
        <f>+M3262</f>
        <v>278167336</v>
      </c>
      <c r="N3297" s="64" t="s">
        <v>82</v>
      </c>
      <c r="O3297" s="65">
        <f>38+294</f>
        <v>332</v>
      </c>
    </row>
    <row r="3298" spans="8:15" ht="16.5" thickBot="1" x14ac:dyDescent="0.3">
      <c r="H3298" s="303" t="s">
        <v>83</v>
      </c>
      <c r="I3298" s="304"/>
      <c r="J3298" s="304"/>
      <c r="K3298" s="304"/>
      <c r="L3298" s="305"/>
      <c r="M3298" s="66">
        <f>SUM(M3296:M3297)</f>
        <v>296997605</v>
      </c>
    </row>
    <row r="3299" spans="8:15" x14ac:dyDescent="0.25">
      <c r="H3299" s="67"/>
      <c r="I3299" s="67"/>
      <c r="J3299" s="67"/>
      <c r="K3299" s="67"/>
      <c r="L3299" s="67"/>
    </row>
    <row r="3300" spans="8:15" x14ac:dyDescent="0.25">
      <c r="H3300" s="41" t="s">
        <v>982</v>
      </c>
    </row>
    <row r="3301" spans="8:15" x14ac:dyDescent="0.25">
      <c r="M3301" s="68"/>
    </row>
    <row r="3302" spans="8:15" x14ac:dyDescent="0.25">
      <c r="H3302" s="40" t="s">
        <v>86</v>
      </c>
      <c r="K3302" s="69"/>
      <c r="M3302" s="68"/>
    </row>
    <row r="3303" spans="8:15" ht="15.75" thickBot="1" x14ac:dyDescent="0.3"/>
    <row r="3304" spans="8:15" ht="15.75" thickBot="1" x14ac:dyDescent="0.3">
      <c r="H3304" s="306" t="s">
        <v>87</v>
      </c>
      <c r="I3304" s="307"/>
      <c r="J3304" s="307"/>
      <c r="K3304" s="308"/>
      <c r="M3304" s="40" t="s">
        <v>89</v>
      </c>
    </row>
    <row r="3305" spans="8:15" ht="30.75" thickBot="1" x14ac:dyDescent="0.3">
      <c r="H3305" s="70" t="s">
        <v>62</v>
      </c>
      <c r="I3305" s="71" t="s">
        <v>90</v>
      </c>
      <c r="J3305" s="204" t="s">
        <v>91</v>
      </c>
      <c r="K3305" s="73" t="s">
        <v>92</v>
      </c>
    </row>
    <row r="3306" spans="8:15" x14ac:dyDescent="0.25">
      <c r="H3306" s="75">
        <v>719</v>
      </c>
      <c r="I3306" s="76">
        <f>+O3288+O3290+O3292+O3294</f>
        <v>150000</v>
      </c>
      <c r="J3306" s="77">
        <f>+K3270</f>
        <v>37460000</v>
      </c>
      <c r="K3306" s="79">
        <f>+I3306+J3306</f>
        <v>37610000</v>
      </c>
    </row>
    <row r="3307" spans="8:15" x14ac:dyDescent="0.25">
      <c r="H3307" s="80">
        <v>721</v>
      </c>
      <c r="I3307" s="81">
        <f>+O3289+O3291</f>
        <v>18680269</v>
      </c>
      <c r="J3307" s="77">
        <f>+K3271</f>
        <v>231629390</v>
      </c>
      <c r="K3307" s="79">
        <f>+I3307+J3307</f>
        <v>250309659</v>
      </c>
    </row>
    <row r="3308" spans="8:15" x14ac:dyDescent="0.25">
      <c r="H3308" s="80">
        <v>722</v>
      </c>
      <c r="I3308" s="81"/>
      <c r="J3308" s="77">
        <f>+K3272</f>
        <v>5580000</v>
      </c>
      <c r="K3308" s="79">
        <f>+I3308+J3308</f>
        <v>5580000</v>
      </c>
    </row>
    <row r="3309" spans="8:15" ht="15.75" x14ac:dyDescent="0.25">
      <c r="H3309" s="80">
        <v>723</v>
      </c>
      <c r="I3309" s="81"/>
      <c r="J3309" s="77">
        <f>+K3273</f>
        <v>19222983</v>
      </c>
      <c r="K3309" s="79">
        <f>+I3309+J3309</f>
        <v>19222983</v>
      </c>
      <c r="M3309" s="109" t="s">
        <v>304</v>
      </c>
      <c r="N3309" s="84"/>
    </row>
    <row r="3310" spans="8:15" ht="16.5" thickBot="1" x14ac:dyDescent="0.3">
      <c r="H3310" s="85" t="s">
        <v>854</v>
      </c>
      <c r="I3310" s="86"/>
      <c r="J3310" s="77" t="e">
        <f>+K3274</f>
        <v>#REF!</v>
      </c>
      <c r="K3310" s="89" t="e">
        <f>+I3310+J3310</f>
        <v>#REF!</v>
      </c>
      <c r="M3310" s="45"/>
    </row>
    <row r="3311" spans="8:15" ht="16.5" thickBot="1" x14ac:dyDescent="0.3">
      <c r="H3311" s="90"/>
      <c r="I3311" s="94">
        <f>SUM(I3306:I3310)</f>
        <v>18830269</v>
      </c>
      <c r="J3311" s="94" t="e">
        <f>SUM(J3306:J3310)</f>
        <v>#REF!</v>
      </c>
      <c r="K3311" s="95" t="e">
        <f>SUM(K3306:K3310)</f>
        <v>#REF!</v>
      </c>
    </row>
    <row r="3312" spans="8:15" ht="16.5" x14ac:dyDescent="0.25">
      <c r="H3312" s="39" t="s">
        <v>46</v>
      </c>
      <c r="I3312" s="40"/>
    </row>
    <row r="3313" spans="8:15" x14ac:dyDescent="0.25">
      <c r="H3313" s="41" t="s">
        <v>47</v>
      </c>
    </row>
    <row r="3314" spans="8:15" x14ac:dyDescent="0.25">
      <c r="H3314" s="41" t="s">
        <v>48</v>
      </c>
    </row>
    <row r="3315" spans="8:15" x14ac:dyDescent="0.25">
      <c r="H3315" s="41" t="s">
        <v>49</v>
      </c>
    </row>
    <row r="3316" spans="8:15" ht="12" customHeight="1" x14ac:dyDescent="0.25">
      <c r="H3316" s="40"/>
      <c r="I3316" s="40"/>
    </row>
    <row r="3317" spans="8:15" ht="15.75" x14ac:dyDescent="0.25">
      <c r="H3317" s="188" t="s">
        <v>983</v>
      </c>
      <c r="N3317" s="45"/>
    </row>
    <row r="3318" spans="8:15" ht="15.75" x14ac:dyDescent="0.25">
      <c r="H3318" s="47" t="s">
        <v>704</v>
      </c>
      <c r="N3318" s="47"/>
    </row>
    <row r="3319" spans="8:15" ht="14.25" customHeight="1" x14ac:dyDescent="0.25">
      <c r="H3319" s="326" t="s">
        <v>984</v>
      </c>
      <c r="I3319" s="326"/>
      <c r="J3319" s="326"/>
      <c r="K3319" s="326"/>
      <c r="L3319" s="326"/>
      <c r="M3319" s="326"/>
      <c r="N3319" s="326"/>
      <c r="O3319" s="326"/>
    </row>
    <row r="3320" spans="8:15" ht="12.75" customHeight="1" thickBot="1" x14ac:dyDescent="0.3"/>
    <row r="3321" spans="8:15" x14ac:dyDescent="0.25">
      <c r="H3321" s="327" t="s">
        <v>56</v>
      </c>
      <c r="I3321" s="322" t="s">
        <v>57</v>
      </c>
      <c r="J3321" s="322" t="s">
        <v>58</v>
      </c>
      <c r="K3321" s="322" t="s">
        <v>7</v>
      </c>
      <c r="L3321" s="322" t="s">
        <v>59</v>
      </c>
      <c r="M3321" s="322" t="s">
        <v>60</v>
      </c>
      <c r="N3321" s="322" t="s">
        <v>61</v>
      </c>
      <c r="O3321" s="324"/>
    </row>
    <row r="3322" spans="8:15" ht="15.75" thickBot="1" x14ac:dyDescent="0.3">
      <c r="H3322" s="328"/>
      <c r="I3322" s="323"/>
      <c r="J3322" s="323"/>
      <c r="K3322" s="323"/>
      <c r="L3322" s="323"/>
      <c r="M3322" s="323"/>
      <c r="N3322" s="51" t="s">
        <v>62</v>
      </c>
      <c r="O3322" s="52" t="s">
        <v>63</v>
      </c>
    </row>
    <row r="3323" spans="8:15" ht="12.75" customHeight="1" x14ac:dyDescent="0.25">
      <c r="H3323" s="318">
        <v>355</v>
      </c>
      <c r="I3323" s="312">
        <v>42734</v>
      </c>
      <c r="J3323" s="314" t="s">
        <v>985</v>
      </c>
      <c r="K3323" s="329">
        <v>42569</v>
      </c>
      <c r="L3323" s="318" t="s">
        <v>5</v>
      </c>
      <c r="M3323" s="320">
        <v>100000</v>
      </c>
      <c r="N3323" s="53">
        <v>719</v>
      </c>
      <c r="O3323" s="54">
        <v>0</v>
      </c>
    </row>
    <row r="3324" spans="8:15" ht="15.75" thickBot="1" x14ac:dyDescent="0.3">
      <c r="H3324" s="319"/>
      <c r="I3324" s="313"/>
      <c r="J3324" s="315"/>
      <c r="K3324" s="317"/>
      <c r="L3324" s="319"/>
      <c r="M3324" s="321"/>
      <c r="N3324" s="55">
        <v>722</v>
      </c>
      <c r="O3324" s="206">
        <f>+M3323-O3323</f>
        <v>100000</v>
      </c>
    </row>
    <row r="3325" spans="8:15" ht="12" customHeight="1" x14ac:dyDescent="0.25">
      <c r="H3325" s="318">
        <f>+H3323+1</f>
        <v>356</v>
      </c>
      <c r="I3325" s="312">
        <v>42734</v>
      </c>
      <c r="J3325" s="314" t="s">
        <v>986</v>
      </c>
      <c r="K3325" s="329">
        <v>42569</v>
      </c>
      <c r="L3325" s="318" t="s">
        <v>5</v>
      </c>
      <c r="M3325" s="320">
        <v>100000</v>
      </c>
      <c r="N3325" s="53">
        <v>719</v>
      </c>
      <c r="O3325" s="54">
        <v>0</v>
      </c>
    </row>
    <row r="3326" spans="8:15" ht="15.75" customHeight="1" thickBot="1" x14ac:dyDescent="0.3">
      <c r="H3326" s="319"/>
      <c r="I3326" s="313"/>
      <c r="J3326" s="315"/>
      <c r="K3326" s="317"/>
      <c r="L3326" s="319"/>
      <c r="M3326" s="321"/>
      <c r="N3326" s="55">
        <v>722</v>
      </c>
      <c r="O3326" s="113">
        <f>+M3325-O3325</f>
        <v>100000</v>
      </c>
    </row>
    <row r="3327" spans="8:15" ht="12.75" customHeight="1" x14ac:dyDescent="0.25">
      <c r="H3327" s="318">
        <f>+H3325+1</f>
        <v>357</v>
      </c>
      <c r="I3327" s="312">
        <v>42734</v>
      </c>
      <c r="J3327" s="314" t="s">
        <v>987</v>
      </c>
      <c r="K3327" s="329">
        <v>42569</v>
      </c>
      <c r="L3327" s="318" t="s">
        <v>5</v>
      </c>
      <c r="M3327" s="320">
        <v>100000</v>
      </c>
      <c r="N3327" s="53">
        <v>719</v>
      </c>
      <c r="O3327" s="54"/>
    </row>
    <row r="3328" spans="8:15" ht="15.75" customHeight="1" thickBot="1" x14ac:dyDescent="0.3">
      <c r="H3328" s="319"/>
      <c r="I3328" s="313"/>
      <c r="J3328" s="315"/>
      <c r="K3328" s="317"/>
      <c r="L3328" s="319"/>
      <c r="M3328" s="321"/>
      <c r="N3328" s="55">
        <v>722</v>
      </c>
      <c r="O3328" s="113">
        <f>+M3327-O3327</f>
        <v>100000</v>
      </c>
    </row>
    <row r="3329" spans="8:15" ht="16.5" customHeight="1" x14ac:dyDescent="0.25">
      <c r="H3329" s="318">
        <f>+H3327+1</f>
        <v>358</v>
      </c>
      <c r="I3329" s="312">
        <v>42734</v>
      </c>
      <c r="J3329" s="314" t="s">
        <v>988</v>
      </c>
      <c r="K3329" s="329">
        <v>42569</v>
      </c>
      <c r="L3329" s="318" t="s">
        <v>5</v>
      </c>
      <c r="M3329" s="320">
        <v>100000</v>
      </c>
      <c r="N3329" s="53">
        <v>719</v>
      </c>
      <c r="O3329" s="54"/>
    </row>
    <row r="3330" spans="8:15" ht="15" customHeight="1" thickBot="1" x14ac:dyDescent="0.3">
      <c r="H3330" s="319"/>
      <c r="I3330" s="313"/>
      <c r="J3330" s="315"/>
      <c r="K3330" s="332"/>
      <c r="L3330" s="319"/>
      <c r="M3330" s="321"/>
      <c r="N3330" s="55">
        <v>722</v>
      </c>
      <c r="O3330" s="113">
        <f>+M3329-O3329</f>
        <v>100000</v>
      </c>
    </row>
    <row r="3331" spans="8:15" ht="12.75" customHeight="1" x14ac:dyDescent="0.25">
      <c r="H3331" s="318">
        <f>+H3329+1</f>
        <v>359</v>
      </c>
      <c r="I3331" s="312">
        <v>42734</v>
      </c>
      <c r="J3331" s="330" t="s">
        <v>989</v>
      </c>
      <c r="K3331" s="329">
        <v>42570</v>
      </c>
      <c r="L3331" s="318" t="s">
        <v>5</v>
      </c>
      <c r="M3331" s="320">
        <v>100000</v>
      </c>
      <c r="N3331" s="53">
        <v>719</v>
      </c>
      <c r="O3331" s="54"/>
    </row>
    <row r="3332" spans="8:15" ht="14.25" customHeight="1" thickBot="1" x14ac:dyDescent="0.3">
      <c r="H3332" s="319"/>
      <c r="I3332" s="313"/>
      <c r="J3332" s="331"/>
      <c r="K3332" s="332"/>
      <c r="L3332" s="319"/>
      <c r="M3332" s="321"/>
      <c r="N3332" s="55">
        <v>722</v>
      </c>
      <c r="O3332" s="113">
        <f>+M3331-O3331</f>
        <v>100000</v>
      </c>
    </row>
    <row r="3333" spans="8:15" ht="15" customHeight="1" x14ac:dyDescent="0.25">
      <c r="H3333" s="318">
        <f>+H3331+1</f>
        <v>360</v>
      </c>
      <c r="I3333" s="312">
        <v>42734</v>
      </c>
      <c r="J3333" s="330" t="s">
        <v>989</v>
      </c>
      <c r="K3333" s="329">
        <v>42570</v>
      </c>
      <c r="L3333" s="318" t="s">
        <v>5</v>
      </c>
      <c r="M3333" s="320">
        <v>100000</v>
      </c>
      <c r="N3333" s="53">
        <v>719</v>
      </c>
      <c r="O3333" s="54"/>
    </row>
    <row r="3334" spans="8:15" ht="15.75" customHeight="1" thickBot="1" x14ac:dyDescent="0.3">
      <c r="H3334" s="319"/>
      <c r="I3334" s="313"/>
      <c r="J3334" s="331"/>
      <c r="K3334" s="332"/>
      <c r="L3334" s="319"/>
      <c r="M3334" s="321"/>
      <c r="N3334" s="55">
        <v>722</v>
      </c>
      <c r="O3334" s="56">
        <f>+M3333-O3333</f>
        <v>100000</v>
      </c>
    </row>
    <row r="3335" spans="8:15" ht="16.5" thickBot="1" x14ac:dyDescent="0.3">
      <c r="H3335" s="297" t="s">
        <v>80</v>
      </c>
      <c r="I3335" s="298"/>
      <c r="J3335" s="298"/>
      <c r="K3335" s="298"/>
      <c r="L3335" s="299"/>
      <c r="M3335" s="62">
        <f>SUM(M3323:M3334)</f>
        <v>600000</v>
      </c>
    </row>
    <row r="3336" spans="8:15" ht="16.5" thickBot="1" x14ac:dyDescent="0.3">
      <c r="H3336" s="300" t="s">
        <v>81</v>
      </c>
      <c r="I3336" s="301"/>
      <c r="J3336" s="301"/>
      <c r="K3336" s="301"/>
      <c r="L3336" s="302"/>
      <c r="M3336" s="63">
        <f>+M3298</f>
        <v>296997605</v>
      </c>
      <c r="N3336" s="64" t="s">
        <v>82</v>
      </c>
      <c r="O3336" s="65"/>
    </row>
    <row r="3337" spans="8:15" ht="16.5" thickBot="1" x14ac:dyDescent="0.3">
      <c r="H3337" s="303" t="s">
        <v>83</v>
      </c>
      <c r="I3337" s="304"/>
      <c r="J3337" s="304"/>
      <c r="K3337" s="304"/>
      <c r="L3337" s="305"/>
      <c r="M3337" s="66">
        <f>SUM(M3335:M3336)</f>
        <v>297597605</v>
      </c>
    </row>
    <row r="3338" spans="8:15" x14ac:dyDescent="0.25">
      <c r="H3338" s="67"/>
      <c r="I3338" s="67"/>
      <c r="J3338" s="67"/>
      <c r="K3338" s="67"/>
      <c r="L3338" s="67"/>
    </row>
    <row r="3339" spans="8:15" x14ac:dyDescent="0.25">
      <c r="H3339" s="41" t="s">
        <v>990</v>
      </c>
    </row>
    <row r="3340" spans="8:15" ht="11.25" customHeight="1" x14ac:dyDescent="0.25">
      <c r="M3340" s="68"/>
    </row>
    <row r="3341" spans="8:15" x14ac:dyDescent="0.25">
      <c r="H3341" s="40" t="s">
        <v>86</v>
      </c>
      <c r="K3341" s="69"/>
      <c r="M3341" s="68"/>
    </row>
    <row r="3342" spans="8:15" ht="13.5" customHeight="1" thickBot="1" x14ac:dyDescent="0.3"/>
    <row r="3343" spans="8:15" ht="15.75" thickBot="1" x14ac:dyDescent="0.3">
      <c r="H3343" s="306" t="s">
        <v>87</v>
      </c>
      <c r="I3343" s="307"/>
      <c r="J3343" s="307"/>
      <c r="K3343" s="308"/>
      <c r="M3343" s="40" t="s">
        <v>89</v>
      </c>
    </row>
    <row r="3344" spans="8:15" ht="30.75" thickBot="1" x14ac:dyDescent="0.3">
      <c r="H3344" s="70" t="s">
        <v>62</v>
      </c>
      <c r="I3344" s="71" t="s">
        <v>90</v>
      </c>
      <c r="J3344" s="204" t="s">
        <v>91</v>
      </c>
      <c r="K3344" s="73" t="s">
        <v>92</v>
      </c>
    </row>
    <row r="3345" spans="8:15" x14ac:dyDescent="0.25">
      <c r="H3345" s="75">
        <v>719</v>
      </c>
      <c r="I3345" s="76">
        <f>+O3323+O3325+O3331+O3333</f>
        <v>0</v>
      </c>
      <c r="J3345" s="77">
        <f>+K3306</f>
        <v>37610000</v>
      </c>
      <c r="K3345" s="79">
        <f>+I3345+J3345</f>
        <v>37610000</v>
      </c>
    </row>
    <row r="3346" spans="8:15" x14ac:dyDescent="0.25">
      <c r="H3346" s="80">
        <v>721</v>
      </c>
      <c r="I3346" s="81"/>
      <c r="J3346" s="77">
        <f>+K3307</f>
        <v>250309659</v>
      </c>
      <c r="K3346" s="79">
        <f>+I3346+J3346</f>
        <v>250309659</v>
      </c>
    </row>
    <row r="3347" spans="8:15" x14ac:dyDescent="0.25">
      <c r="H3347" s="80">
        <v>722</v>
      </c>
      <c r="I3347" s="81">
        <f>+O3334+O3332+O3328+O3326+O3324+O3330</f>
        <v>600000</v>
      </c>
      <c r="J3347" s="77">
        <f>+K3308</f>
        <v>5580000</v>
      </c>
      <c r="K3347" s="79">
        <f>+I3347+J3347</f>
        <v>6180000</v>
      </c>
    </row>
    <row r="3348" spans="8:15" ht="15.75" x14ac:dyDescent="0.25">
      <c r="H3348" s="80">
        <v>723</v>
      </c>
      <c r="I3348" s="81"/>
      <c r="J3348" s="77">
        <f>+K3309</f>
        <v>19222983</v>
      </c>
      <c r="K3348" s="79">
        <f>+I3348+J3348</f>
        <v>19222983</v>
      </c>
      <c r="M3348" s="109" t="s">
        <v>304</v>
      </c>
      <c r="N3348" s="84"/>
    </row>
    <row r="3349" spans="8:15" ht="16.5" thickBot="1" x14ac:dyDescent="0.3">
      <c r="H3349" s="85" t="s">
        <v>854</v>
      </c>
      <c r="I3349" s="86"/>
      <c r="J3349" s="77" t="e">
        <f>+K3310</f>
        <v>#REF!</v>
      </c>
      <c r="K3349" s="89" t="e">
        <f>+I3349+J3349</f>
        <v>#REF!</v>
      </c>
      <c r="M3349" s="45"/>
    </row>
    <row r="3350" spans="8:15" ht="16.5" thickBot="1" x14ac:dyDescent="0.3">
      <c r="H3350" s="90"/>
      <c r="I3350" s="94">
        <f>SUM(I3345:I3349)</f>
        <v>600000</v>
      </c>
      <c r="J3350" s="94" t="e">
        <f>SUM(J3345:J3349)</f>
        <v>#REF!</v>
      </c>
      <c r="K3350" s="95" t="e">
        <f>SUM(K3345:K3349)</f>
        <v>#REF!</v>
      </c>
    </row>
    <row r="3351" spans="8:15" ht="16.5" x14ac:dyDescent="0.25">
      <c r="H3351" s="39" t="s">
        <v>46</v>
      </c>
      <c r="I3351" s="40"/>
    </row>
    <row r="3352" spans="8:15" x14ac:dyDescent="0.25">
      <c r="H3352" s="41" t="s">
        <v>47</v>
      </c>
    </row>
    <row r="3353" spans="8:15" x14ac:dyDescent="0.25">
      <c r="H3353" s="41" t="s">
        <v>48</v>
      </c>
    </row>
    <row r="3354" spans="8:15" x14ac:dyDescent="0.25">
      <c r="H3354" s="41" t="s">
        <v>49</v>
      </c>
    </row>
    <row r="3355" spans="8:15" x14ac:dyDescent="0.25">
      <c r="H3355" s="40"/>
      <c r="I3355" s="40"/>
    </row>
    <row r="3356" spans="8:15" ht="15.75" x14ac:dyDescent="0.25">
      <c r="H3356" s="188" t="s">
        <v>991</v>
      </c>
      <c r="N3356" s="45"/>
    </row>
    <row r="3357" spans="8:15" ht="15.75" x14ac:dyDescent="0.25">
      <c r="H3357" s="47" t="s">
        <v>704</v>
      </c>
      <c r="N3357" s="47"/>
    </row>
    <row r="3358" spans="8:15" ht="16.5" x14ac:dyDescent="0.25">
      <c r="H3358" s="326" t="s">
        <v>984</v>
      </c>
      <c r="I3358" s="326"/>
      <c r="J3358" s="326"/>
      <c r="K3358" s="326"/>
      <c r="L3358" s="326"/>
      <c r="M3358" s="326"/>
      <c r="N3358" s="326"/>
      <c r="O3358" s="326"/>
    </row>
    <row r="3359" spans="8:15" ht="15.75" thickBot="1" x14ac:dyDescent="0.3"/>
    <row r="3360" spans="8:15" x14ac:dyDescent="0.25">
      <c r="H3360" s="327" t="s">
        <v>56</v>
      </c>
      <c r="I3360" s="322" t="s">
        <v>57</v>
      </c>
      <c r="J3360" s="322" t="s">
        <v>58</v>
      </c>
      <c r="K3360" s="322" t="s">
        <v>7</v>
      </c>
      <c r="L3360" s="322" t="s">
        <v>59</v>
      </c>
      <c r="M3360" s="322" t="s">
        <v>60</v>
      </c>
      <c r="N3360" s="322" t="s">
        <v>61</v>
      </c>
      <c r="O3360" s="324"/>
    </row>
    <row r="3361" spans="8:15" ht="15.75" thickBot="1" x14ac:dyDescent="0.3">
      <c r="H3361" s="328"/>
      <c r="I3361" s="323"/>
      <c r="J3361" s="323"/>
      <c r="K3361" s="323"/>
      <c r="L3361" s="323"/>
      <c r="M3361" s="323"/>
      <c r="N3361" s="51" t="s">
        <v>62</v>
      </c>
      <c r="O3361" s="52" t="s">
        <v>63</v>
      </c>
    </row>
    <row r="3362" spans="8:15" ht="15" customHeight="1" x14ac:dyDescent="0.25">
      <c r="H3362" s="310" t="s">
        <v>563</v>
      </c>
      <c r="I3362" s="312">
        <v>42735</v>
      </c>
      <c r="J3362" s="314" t="s">
        <v>992</v>
      </c>
      <c r="K3362" s="316" t="s">
        <v>993</v>
      </c>
      <c r="L3362" s="318" t="s">
        <v>127</v>
      </c>
      <c r="M3362" s="320">
        <v>-401330</v>
      </c>
      <c r="N3362" s="53">
        <v>719</v>
      </c>
      <c r="O3362" s="54"/>
    </row>
    <row r="3363" spans="8:15" ht="15.75" thickBot="1" x14ac:dyDescent="0.3">
      <c r="H3363" s="311"/>
      <c r="I3363" s="313"/>
      <c r="J3363" s="315"/>
      <c r="K3363" s="317"/>
      <c r="L3363" s="319"/>
      <c r="M3363" s="321"/>
      <c r="N3363" s="55">
        <v>723</v>
      </c>
      <c r="O3363" s="206">
        <f>+M3362-O3362</f>
        <v>-401330</v>
      </c>
    </row>
    <row r="3364" spans="8:15" ht="15" customHeight="1" x14ac:dyDescent="0.25">
      <c r="H3364" s="310" t="s">
        <v>565</v>
      </c>
      <c r="I3364" s="312">
        <v>42735</v>
      </c>
      <c r="J3364" s="314" t="s">
        <v>994</v>
      </c>
      <c r="K3364" s="316" t="s">
        <v>995</v>
      </c>
      <c r="L3364" s="318" t="s">
        <v>127</v>
      </c>
      <c r="M3364" s="320">
        <v>-164000</v>
      </c>
      <c r="N3364" s="53">
        <v>719</v>
      </c>
      <c r="O3364" s="54"/>
    </row>
    <row r="3365" spans="8:15" ht="15.75" customHeight="1" thickBot="1" x14ac:dyDescent="0.3">
      <c r="H3365" s="311"/>
      <c r="I3365" s="313"/>
      <c r="J3365" s="315"/>
      <c r="K3365" s="317"/>
      <c r="L3365" s="319"/>
      <c r="M3365" s="321"/>
      <c r="N3365" s="55">
        <v>723</v>
      </c>
      <c r="O3365" s="113">
        <f>+M3364-O3364</f>
        <v>-164000</v>
      </c>
    </row>
    <row r="3366" spans="8:15" ht="15" customHeight="1" x14ac:dyDescent="0.25">
      <c r="H3366" s="310"/>
      <c r="I3366" s="312"/>
      <c r="J3366" s="314"/>
      <c r="K3366" s="316"/>
      <c r="L3366" s="318"/>
      <c r="M3366" s="320"/>
      <c r="N3366" s="53">
        <v>719</v>
      </c>
      <c r="O3366" s="54"/>
    </row>
    <row r="3367" spans="8:15" ht="15.75" customHeight="1" thickBot="1" x14ac:dyDescent="0.3">
      <c r="H3367" s="311"/>
      <c r="I3367" s="313"/>
      <c r="J3367" s="315"/>
      <c r="K3367" s="317"/>
      <c r="L3367" s="319"/>
      <c r="M3367" s="321"/>
      <c r="N3367" s="55">
        <v>722</v>
      </c>
      <c r="O3367" s="113"/>
    </row>
    <row r="3368" spans="8:15" ht="15" customHeight="1" x14ac:dyDescent="0.25">
      <c r="H3368" s="310"/>
      <c r="I3368" s="312"/>
      <c r="J3368" s="314"/>
      <c r="K3368" s="316"/>
      <c r="L3368" s="318"/>
      <c r="M3368" s="320"/>
      <c r="N3368" s="53">
        <v>719</v>
      </c>
      <c r="O3368" s="54"/>
    </row>
    <row r="3369" spans="8:15" ht="15.75" customHeight="1" thickBot="1" x14ac:dyDescent="0.3">
      <c r="H3369" s="311"/>
      <c r="I3369" s="313"/>
      <c r="J3369" s="315"/>
      <c r="K3369" s="317"/>
      <c r="L3369" s="319"/>
      <c r="M3369" s="321"/>
      <c r="N3369" s="55">
        <v>722</v>
      </c>
      <c r="O3369" s="56">
        <f>+M3368-O3368</f>
        <v>0</v>
      </c>
    </row>
    <row r="3370" spans="8:15" ht="16.5" thickBot="1" x14ac:dyDescent="0.3">
      <c r="H3370" s="297" t="s">
        <v>80</v>
      </c>
      <c r="I3370" s="298"/>
      <c r="J3370" s="298"/>
      <c r="K3370" s="298"/>
      <c r="L3370" s="299"/>
      <c r="M3370" s="62">
        <f>SUM(M3362:M3369)</f>
        <v>-565330</v>
      </c>
    </row>
    <row r="3371" spans="8:15" ht="16.5" thickBot="1" x14ac:dyDescent="0.3">
      <c r="H3371" s="300" t="s">
        <v>81</v>
      </c>
      <c r="I3371" s="301"/>
      <c r="J3371" s="301"/>
      <c r="K3371" s="301"/>
      <c r="L3371" s="302"/>
      <c r="M3371" s="63">
        <f>+M3337</f>
        <v>297597605</v>
      </c>
      <c r="N3371" s="64" t="s">
        <v>82</v>
      </c>
      <c r="O3371" s="65"/>
    </row>
    <row r="3372" spans="8:15" ht="16.5" thickBot="1" x14ac:dyDescent="0.3">
      <c r="H3372" s="303" t="s">
        <v>83</v>
      </c>
      <c r="I3372" s="304"/>
      <c r="J3372" s="304"/>
      <c r="K3372" s="304"/>
      <c r="L3372" s="305"/>
      <c r="M3372" s="66">
        <f>SUM(M3370:M3371)</f>
        <v>297032275</v>
      </c>
    </row>
    <row r="3373" spans="8:15" x14ac:dyDescent="0.25">
      <c r="H3373" s="67"/>
      <c r="I3373" s="67"/>
      <c r="J3373" s="67"/>
      <c r="K3373" s="67"/>
      <c r="L3373" s="67"/>
    </row>
    <row r="3374" spans="8:15" x14ac:dyDescent="0.25">
      <c r="H3374" s="41" t="s">
        <v>996</v>
      </c>
    </row>
    <row r="3375" spans="8:15" x14ac:dyDescent="0.25">
      <c r="M3375" s="68"/>
    </row>
    <row r="3376" spans="8:15" x14ac:dyDescent="0.25">
      <c r="H3376" s="40" t="s">
        <v>86</v>
      </c>
      <c r="K3376" s="69"/>
      <c r="M3376" s="68"/>
    </row>
    <row r="3377" spans="8:14" ht="15.75" thickBot="1" x14ac:dyDescent="0.3"/>
    <row r="3378" spans="8:14" ht="15.75" thickBot="1" x14ac:dyDescent="0.3">
      <c r="H3378" s="306" t="s">
        <v>87</v>
      </c>
      <c r="I3378" s="307"/>
      <c r="J3378" s="307"/>
      <c r="K3378" s="308"/>
      <c r="M3378" s="40" t="s">
        <v>89</v>
      </c>
    </row>
    <row r="3379" spans="8:14" ht="30.75" thickBot="1" x14ac:dyDescent="0.3">
      <c r="H3379" s="70" t="s">
        <v>62</v>
      </c>
      <c r="I3379" s="71" t="s">
        <v>90</v>
      </c>
      <c r="J3379" s="204" t="s">
        <v>91</v>
      </c>
      <c r="K3379" s="73" t="s">
        <v>92</v>
      </c>
    </row>
    <row r="3380" spans="8:14" x14ac:dyDescent="0.25">
      <c r="H3380" s="75">
        <v>719</v>
      </c>
      <c r="I3380" s="76">
        <f>+O3362+O3364+O3368</f>
        <v>0</v>
      </c>
      <c r="J3380" s="77">
        <f>+K3345</f>
        <v>37610000</v>
      </c>
      <c r="K3380" s="79">
        <f>+I3380+J3380</f>
        <v>37610000</v>
      </c>
    </row>
    <row r="3381" spans="8:14" x14ac:dyDescent="0.25">
      <c r="H3381" s="80">
        <v>721</v>
      </c>
      <c r="I3381" s="81"/>
      <c r="J3381" s="77">
        <f>+K3346</f>
        <v>250309659</v>
      </c>
      <c r="K3381" s="79">
        <f>+I3381+J3381</f>
        <v>250309659</v>
      </c>
    </row>
    <row r="3382" spans="8:14" x14ac:dyDescent="0.25">
      <c r="H3382" s="80">
        <v>722</v>
      </c>
      <c r="I3382" s="81"/>
      <c r="J3382" s="77">
        <f>+K3347</f>
        <v>6180000</v>
      </c>
      <c r="K3382" s="79">
        <f>+I3382+J3382</f>
        <v>6180000</v>
      </c>
    </row>
    <row r="3383" spans="8:14" ht="15.75" x14ac:dyDescent="0.25">
      <c r="H3383" s="80">
        <v>723</v>
      </c>
      <c r="I3383" s="81">
        <f>+O3365+O3363</f>
        <v>-565330</v>
      </c>
      <c r="J3383" s="77">
        <f>+K3348</f>
        <v>19222983</v>
      </c>
      <c r="K3383" s="79">
        <f>+I3383+J3383</f>
        <v>18657653</v>
      </c>
      <c r="M3383" s="109" t="s">
        <v>304</v>
      </c>
      <c r="N3383" s="84"/>
    </row>
    <row r="3384" spans="8:14" ht="16.5" thickBot="1" x14ac:dyDescent="0.3">
      <c r="H3384" s="85" t="s">
        <v>854</v>
      </c>
      <c r="I3384" s="86"/>
      <c r="J3384" s="77" t="e">
        <f>+K3349</f>
        <v>#REF!</v>
      </c>
      <c r="K3384" s="89" t="e">
        <f>+I3384+J3384</f>
        <v>#REF!</v>
      </c>
      <c r="M3384" s="45"/>
    </row>
    <row r="3385" spans="8:14" ht="16.5" thickBot="1" x14ac:dyDescent="0.3">
      <c r="H3385" s="90"/>
      <c r="I3385" s="94">
        <f>SUM(I3380:I3384)</f>
        <v>-565330</v>
      </c>
      <c r="J3385" s="94" t="e">
        <f>SUM(J3380:J3384)</f>
        <v>#REF!</v>
      </c>
      <c r="K3385" s="95" t="e">
        <f>SUM(K3380:K3384)</f>
        <v>#REF!</v>
      </c>
    </row>
    <row r="3386" spans="8:14" ht="15.75" x14ac:dyDescent="0.25">
      <c r="H3386" s="207"/>
      <c r="I3386" s="208"/>
      <c r="J3386" s="208"/>
      <c r="K3386" s="209"/>
    </row>
    <row r="3387" spans="8:14" ht="16.5" x14ac:dyDescent="0.25">
      <c r="H3387" s="39" t="s">
        <v>46</v>
      </c>
      <c r="I3387" s="40"/>
    </row>
    <row r="3388" spans="8:14" x14ac:dyDescent="0.25">
      <c r="H3388" s="41" t="s">
        <v>47</v>
      </c>
    </row>
    <row r="3389" spans="8:14" x14ac:dyDescent="0.25">
      <c r="H3389" s="41" t="s">
        <v>48</v>
      </c>
    </row>
    <row r="3390" spans="8:14" x14ac:dyDescent="0.25">
      <c r="H3390" s="41" t="s">
        <v>49</v>
      </c>
    </row>
    <row r="3391" spans="8:14" ht="14.25" customHeight="1" x14ac:dyDescent="0.25">
      <c r="H3391" s="40"/>
      <c r="I3391" s="40"/>
    </row>
    <row r="3392" spans="8:14" ht="15.75" x14ac:dyDescent="0.25">
      <c r="H3392" s="188" t="s">
        <v>997</v>
      </c>
      <c r="N3392" s="45"/>
    </row>
    <row r="3393" spans="8:15" ht="15.75" x14ac:dyDescent="0.25">
      <c r="H3393" s="47" t="s">
        <v>704</v>
      </c>
      <c r="N3393" s="47"/>
    </row>
    <row r="3394" spans="8:15" ht="16.5" x14ac:dyDescent="0.25">
      <c r="H3394" s="326" t="s">
        <v>545</v>
      </c>
      <c r="I3394" s="326"/>
      <c r="J3394" s="326"/>
      <c r="K3394" s="326"/>
      <c r="L3394" s="326"/>
      <c r="M3394" s="326"/>
      <c r="N3394" s="326"/>
      <c r="O3394" s="326"/>
    </row>
    <row r="3395" spans="8:15" ht="15.75" thickBot="1" x14ac:dyDescent="0.3"/>
    <row r="3396" spans="8:15" x14ac:dyDescent="0.25">
      <c r="H3396" s="327" t="s">
        <v>56</v>
      </c>
      <c r="I3396" s="322" t="s">
        <v>57</v>
      </c>
      <c r="J3396" s="322" t="s">
        <v>58</v>
      </c>
      <c r="K3396" s="322" t="s">
        <v>7</v>
      </c>
      <c r="L3396" s="322" t="s">
        <v>59</v>
      </c>
      <c r="M3396" s="322" t="s">
        <v>60</v>
      </c>
      <c r="N3396" s="322" t="s">
        <v>61</v>
      </c>
      <c r="O3396" s="324"/>
    </row>
    <row r="3397" spans="8:15" ht="15.75" thickBot="1" x14ac:dyDescent="0.3">
      <c r="H3397" s="328"/>
      <c r="I3397" s="323"/>
      <c r="J3397" s="323"/>
      <c r="K3397" s="323"/>
      <c r="L3397" s="323"/>
      <c r="M3397" s="323"/>
      <c r="N3397" s="51" t="s">
        <v>62</v>
      </c>
      <c r="O3397" s="52" t="s">
        <v>63</v>
      </c>
    </row>
    <row r="3398" spans="8:15" ht="15" customHeight="1" x14ac:dyDescent="0.25">
      <c r="H3398" s="310" t="s">
        <v>998</v>
      </c>
      <c r="I3398" s="312">
        <v>42734</v>
      </c>
      <c r="J3398" s="314" t="s">
        <v>798</v>
      </c>
      <c r="K3398" s="316" t="s">
        <v>993</v>
      </c>
      <c r="L3398" s="318" t="s">
        <v>66</v>
      </c>
      <c r="M3398" s="320">
        <v>50000</v>
      </c>
      <c r="N3398" s="53">
        <v>719</v>
      </c>
      <c r="O3398" s="54">
        <v>50000</v>
      </c>
    </row>
    <row r="3399" spans="8:15" ht="15.75" customHeight="1" thickBot="1" x14ac:dyDescent="0.3">
      <c r="H3399" s="311"/>
      <c r="I3399" s="313"/>
      <c r="J3399" s="315"/>
      <c r="K3399" s="317"/>
      <c r="L3399" s="319"/>
      <c r="M3399" s="321"/>
      <c r="N3399" s="55">
        <v>723</v>
      </c>
      <c r="O3399" s="206">
        <f>+M3398-O3398</f>
        <v>0</v>
      </c>
    </row>
    <row r="3400" spans="8:15" ht="15" customHeight="1" x14ac:dyDescent="0.25">
      <c r="H3400" s="310" t="s">
        <v>999</v>
      </c>
      <c r="I3400" s="312">
        <v>42734</v>
      </c>
      <c r="J3400" s="314" t="s">
        <v>70</v>
      </c>
      <c r="K3400" s="316" t="s">
        <v>995</v>
      </c>
      <c r="L3400" s="318" t="s">
        <v>66</v>
      </c>
      <c r="M3400" s="320">
        <v>50000</v>
      </c>
      <c r="N3400" s="53">
        <v>719</v>
      </c>
      <c r="O3400" s="54">
        <v>50000</v>
      </c>
    </row>
    <row r="3401" spans="8:15" ht="15.75" customHeight="1" thickBot="1" x14ac:dyDescent="0.3">
      <c r="H3401" s="311"/>
      <c r="I3401" s="313"/>
      <c r="J3401" s="315"/>
      <c r="K3401" s="317"/>
      <c r="L3401" s="319"/>
      <c r="M3401" s="321"/>
      <c r="N3401" s="55">
        <v>723</v>
      </c>
      <c r="O3401" s="113">
        <f>+M3400-O3400</f>
        <v>0</v>
      </c>
    </row>
    <row r="3402" spans="8:15" ht="15" customHeight="1" x14ac:dyDescent="0.25">
      <c r="H3402" s="310" t="s">
        <v>1000</v>
      </c>
      <c r="I3402" s="312">
        <v>42734</v>
      </c>
      <c r="J3402" s="314" t="s">
        <v>251</v>
      </c>
      <c r="K3402" s="316" t="s">
        <v>995</v>
      </c>
      <c r="L3402" s="318" t="s">
        <v>66</v>
      </c>
      <c r="M3402" s="320">
        <v>140000</v>
      </c>
      <c r="N3402" s="53">
        <v>719</v>
      </c>
      <c r="O3402" s="54">
        <v>140000</v>
      </c>
    </row>
    <row r="3403" spans="8:15" ht="15.75" customHeight="1" thickBot="1" x14ac:dyDescent="0.3">
      <c r="H3403" s="311"/>
      <c r="I3403" s="313"/>
      <c r="J3403" s="315"/>
      <c r="K3403" s="317"/>
      <c r="L3403" s="319"/>
      <c r="M3403" s="321"/>
      <c r="N3403" s="55">
        <v>722</v>
      </c>
      <c r="O3403" s="113">
        <f>+M3402-O3402</f>
        <v>0</v>
      </c>
    </row>
    <row r="3404" spans="8:15" x14ac:dyDescent="0.25">
      <c r="H3404" s="318"/>
      <c r="I3404" s="312"/>
      <c r="J3404" s="314"/>
      <c r="K3404" s="329"/>
      <c r="L3404" s="318"/>
      <c r="M3404" s="320"/>
      <c r="N3404" s="53">
        <v>719</v>
      </c>
      <c r="O3404" s="54"/>
    </row>
    <row r="3405" spans="8:15" ht="15.75" thickBot="1" x14ac:dyDescent="0.3">
      <c r="H3405" s="319"/>
      <c r="I3405" s="313"/>
      <c r="J3405" s="315"/>
      <c r="K3405" s="317"/>
      <c r="L3405" s="319"/>
      <c r="M3405" s="321"/>
      <c r="N3405" s="55">
        <v>722</v>
      </c>
      <c r="O3405" s="56">
        <f>+M3404-O3404</f>
        <v>0</v>
      </c>
    </row>
    <row r="3406" spans="8:15" ht="16.5" thickBot="1" x14ac:dyDescent="0.3">
      <c r="H3406" s="297" t="s">
        <v>80</v>
      </c>
      <c r="I3406" s="298"/>
      <c r="J3406" s="298"/>
      <c r="K3406" s="298"/>
      <c r="L3406" s="299"/>
      <c r="M3406" s="62">
        <f>SUM(M3398:M3405)</f>
        <v>240000</v>
      </c>
    </row>
    <row r="3407" spans="8:15" ht="16.5" thickBot="1" x14ac:dyDescent="0.3">
      <c r="H3407" s="300" t="s">
        <v>81</v>
      </c>
      <c r="I3407" s="301"/>
      <c r="J3407" s="301"/>
      <c r="K3407" s="301"/>
      <c r="L3407" s="302"/>
      <c r="M3407" s="63">
        <f>+M3372</f>
        <v>297032275</v>
      </c>
      <c r="N3407" s="64" t="s">
        <v>82</v>
      </c>
      <c r="O3407" s="65">
        <v>349</v>
      </c>
    </row>
    <row r="3408" spans="8:15" ht="16.5" thickBot="1" x14ac:dyDescent="0.3">
      <c r="H3408" s="303" t="s">
        <v>83</v>
      </c>
      <c r="I3408" s="304"/>
      <c r="J3408" s="304"/>
      <c r="K3408" s="304"/>
      <c r="L3408" s="305"/>
      <c r="M3408" s="66">
        <f>SUM(M3406:M3407)</f>
        <v>297272275</v>
      </c>
    </row>
    <row r="3409" spans="8:14" x14ac:dyDescent="0.25">
      <c r="H3409" s="67"/>
      <c r="I3409" s="67"/>
      <c r="J3409" s="67"/>
      <c r="K3409" s="67"/>
      <c r="L3409" s="67"/>
    </row>
    <row r="3410" spans="8:14" x14ac:dyDescent="0.25">
      <c r="H3410" s="41" t="s">
        <v>1001</v>
      </c>
    </row>
    <row r="3411" spans="8:14" x14ac:dyDescent="0.25">
      <c r="M3411" s="68"/>
    </row>
    <row r="3412" spans="8:14" ht="19.5" customHeight="1" x14ac:dyDescent="0.25">
      <c r="H3412" s="40" t="s">
        <v>86</v>
      </c>
      <c r="K3412" s="69"/>
      <c r="M3412" s="68"/>
    </row>
    <row r="3413" spans="8:14" ht="18" customHeight="1" thickBot="1" x14ac:dyDescent="0.3"/>
    <row r="3414" spans="8:14" ht="15.75" thickBot="1" x14ac:dyDescent="0.3">
      <c r="H3414" s="306" t="s">
        <v>87</v>
      </c>
      <c r="I3414" s="307"/>
      <c r="J3414" s="307"/>
      <c r="K3414" s="308"/>
      <c r="M3414" s="40" t="s">
        <v>89</v>
      </c>
    </row>
    <row r="3415" spans="8:14" ht="30.75" thickBot="1" x14ac:dyDescent="0.3">
      <c r="H3415" s="70" t="s">
        <v>62</v>
      </c>
      <c r="I3415" s="71" t="s">
        <v>90</v>
      </c>
      <c r="J3415" s="204" t="s">
        <v>91</v>
      </c>
      <c r="K3415" s="73" t="s">
        <v>92</v>
      </c>
    </row>
    <row r="3416" spans="8:14" x14ac:dyDescent="0.25">
      <c r="H3416" s="75">
        <v>719</v>
      </c>
      <c r="I3416" s="76">
        <f>+O3398+O3400+O3404+O3402</f>
        <v>240000</v>
      </c>
      <c r="J3416" s="77">
        <f>+K3380</f>
        <v>37610000</v>
      </c>
      <c r="K3416" s="79">
        <f>+I3416+J3416</f>
        <v>37850000</v>
      </c>
    </row>
    <row r="3417" spans="8:14" x14ac:dyDescent="0.25">
      <c r="H3417" s="80">
        <v>721</v>
      </c>
      <c r="I3417" s="81"/>
      <c r="J3417" s="77">
        <f>+K3381</f>
        <v>250309659</v>
      </c>
      <c r="K3417" s="79">
        <f>+I3417+J3417</f>
        <v>250309659</v>
      </c>
    </row>
    <row r="3418" spans="8:14" x14ac:dyDescent="0.25">
      <c r="H3418" s="80">
        <v>722</v>
      </c>
      <c r="I3418" s="81"/>
      <c r="J3418" s="77">
        <f>+K3382</f>
        <v>6180000</v>
      </c>
      <c r="K3418" s="79">
        <f>+I3418+J3418</f>
        <v>6180000</v>
      </c>
    </row>
    <row r="3419" spans="8:14" ht="15.75" x14ac:dyDescent="0.25">
      <c r="H3419" s="80">
        <v>723</v>
      </c>
      <c r="I3419" s="81">
        <f>+O3401+O3399</f>
        <v>0</v>
      </c>
      <c r="J3419" s="77">
        <f>+K3383</f>
        <v>18657653</v>
      </c>
      <c r="K3419" s="79">
        <f>+I3419+J3419</f>
        <v>18657653</v>
      </c>
      <c r="M3419" s="109" t="s">
        <v>304</v>
      </c>
      <c r="N3419" s="84"/>
    </row>
    <row r="3420" spans="8:14" ht="16.5" thickBot="1" x14ac:dyDescent="0.3">
      <c r="H3420" s="85" t="s">
        <v>854</v>
      </c>
      <c r="I3420" s="86"/>
      <c r="J3420" s="77" t="e">
        <f>+K3384</f>
        <v>#REF!</v>
      </c>
      <c r="K3420" s="89" t="e">
        <f>+I3420+J3420</f>
        <v>#REF!</v>
      </c>
      <c r="M3420" s="45"/>
    </row>
    <row r="3421" spans="8:14" ht="16.5" thickBot="1" x14ac:dyDescent="0.3">
      <c r="H3421" s="90"/>
      <c r="I3421" s="94">
        <f>SUM(I3416:I3420)</f>
        <v>240000</v>
      </c>
      <c r="J3421" s="94" t="e">
        <f>SUM(J3416:J3420)</f>
        <v>#REF!</v>
      </c>
      <c r="K3421" s="95" t="e">
        <f>SUM(K3416:K3420)</f>
        <v>#REF!</v>
      </c>
    </row>
    <row r="3422" spans="8:14" ht="15.75" x14ac:dyDescent="0.25">
      <c r="H3422" s="207"/>
      <c r="I3422" s="208"/>
      <c r="J3422" s="208"/>
      <c r="K3422" s="209"/>
    </row>
    <row r="3423" spans="8:14" ht="16.5" x14ac:dyDescent="0.25">
      <c r="H3423" s="39" t="s">
        <v>46</v>
      </c>
      <c r="I3423" s="40"/>
    </row>
    <row r="3424" spans="8:14" x14ac:dyDescent="0.25">
      <c r="H3424" s="40" t="s">
        <v>47</v>
      </c>
    </row>
    <row r="3425" spans="8:15" x14ac:dyDescent="0.25">
      <c r="H3425" s="41" t="s">
        <v>48</v>
      </c>
    </row>
    <row r="3426" spans="8:15" x14ac:dyDescent="0.25">
      <c r="H3426" s="41" t="s">
        <v>49</v>
      </c>
    </row>
    <row r="3427" spans="8:15" ht="9" customHeight="1" x14ac:dyDescent="0.25">
      <c r="H3427" s="40"/>
      <c r="I3427" s="40"/>
    </row>
    <row r="3428" spans="8:15" ht="15.75" x14ac:dyDescent="0.25">
      <c r="H3428" s="188" t="s">
        <v>1002</v>
      </c>
      <c r="N3428" s="45"/>
    </row>
    <row r="3429" spans="8:15" ht="15.75" x14ac:dyDescent="0.25">
      <c r="H3429" s="47" t="s">
        <v>704</v>
      </c>
      <c r="N3429" s="47"/>
    </row>
    <row r="3430" spans="8:15" ht="15.75" customHeight="1" x14ac:dyDescent="0.25">
      <c r="H3430" s="326" t="s">
        <v>1003</v>
      </c>
      <c r="I3430" s="326"/>
      <c r="J3430" s="326"/>
      <c r="K3430" s="326"/>
      <c r="L3430" s="326"/>
      <c r="M3430" s="326"/>
      <c r="N3430" s="326"/>
      <c r="O3430" s="326"/>
    </row>
    <row r="3431" spans="8:15" ht="12.75" customHeight="1" thickBot="1" x14ac:dyDescent="0.3"/>
    <row r="3432" spans="8:15" x14ac:dyDescent="0.25">
      <c r="H3432" s="327" t="s">
        <v>56</v>
      </c>
      <c r="I3432" s="322" t="s">
        <v>57</v>
      </c>
      <c r="J3432" s="322" t="s">
        <v>58</v>
      </c>
      <c r="K3432" s="322" t="s">
        <v>7</v>
      </c>
      <c r="L3432" s="322" t="s">
        <v>59</v>
      </c>
      <c r="M3432" s="322" t="s">
        <v>60</v>
      </c>
      <c r="N3432" s="322" t="s">
        <v>61</v>
      </c>
      <c r="O3432" s="324"/>
    </row>
    <row r="3433" spans="8:15" ht="15.75" thickBot="1" x14ac:dyDescent="0.3">
      <c r="H3433" s="328"/>
      <c r="I3433" s="323"/>
      <c r="J3433" s="323"/>
      <c r="K3433" s="323"/>
      <c r="L3433" s="323"/>
      <c r="M3433" s="323"/>
      <c r="N3433" s="51" t="s">
        <v>62</v>
      </c>
      <c r="O3433" s="52" t="s">
        <v>63</v>
      </c>
    </row>
    <row r="3434" spans="8:15" ht="13.5" customHeight="1" x14ac:dyDescent="0.25">
      <c r="H3434" s="310" t="s">
        <v>1004</v>
      </c>
      <c r="I3434" s="312">
        <v>42734</v>
      </c>
      <c r="J3434" s="210" t="s">
        <v>977</v>
      </c>
      <c r="K3434" s="316" t="s">
        <v>946</v>
      </c>
      <c r="L3434" s="318" t="s">
        <v>186</v>
      </c>
      <c r="M3434" s="320">
        <v>14718204</v>
      </c>
      <c r="N3434" s="53">
        <v>719</v>
      </c>
      <c r="O3434" s="54">
        <v>0</v>
      </c>
    </row>
    <row r="3435" spans="8:15" ht="14.25" customHeight="1" thickBot="1" x14ac:dyDescent="0.3">
      <c r="H3435" s="311"/>
      <c r="I3435" s="313"/>
      <c r="J3435" s="211"/>
      <c r="K3435" s="317"/>
      <c r="L3435" s="319"/>
      <c r="M3435" s="321"/>
      <c r="N3435" s="55">
        <v>721</v>
      </c>
      <c r="O3435" s="206">
        <f>+M3434-O3434</f>
        <v>14718204</v>
      </c>
    </row>
    <row r="3436" spans="8:15" ht="13.5" customHeight="1" x14ac:dyDescent="0.25">
      <c r="H3436" s="310" t="s">
        <v>1005</v>
      </c>
      <c r="I3436" s="312">
        <v>42734</v>
      </c>
      <c r="J3436" s="211"/>
      <c r="K3436" s="316" t="s">
        <v>1006</v>
      </c>
      <c r="L3436" s="318" t="s">
        <v>186</v>
      </c>
      <c r="M3436" s="320">
        <v>4941638</v>
      </c>
      <c r="N3436" s="53">
        <v>719</v>
      </c>
      <c r="O3436" s="54">
        <v>0</v>
      </c>
    </row>
    <row r="3437" spans="8:15" ht="15" customHeight="1" thickBot="1" x14ac:dyDescent="0.3">
      <c r="H3437" s="311"/>
      <c r="I3437" s="313"/>
      <c r="J3437" s="211"/>
      <c r="K3437" s="317"/>
      <c r="L3437" s="319"/>
      <c r="M3437" s="321"/>
      <c r="N3437" s="55">
        <v>721</v>
      </c>
      <c r="O3437" s="113">
        <f>+M3436-O3436</f>
        <v>4941638</v>
      </c>
    </row>
    <row r="3438" spans="8:15" ht="15" customHeight="1" x14ac:dyDescent="0.25">
      <c r="H3438" s="310" t="s">
        <v>1007</v>
      </c>
      <c r="I3438" s="312">
        <v>42734</v>
      </c>
      <c r="J3438" s="211"/>
      <c r="K3438" s="316" t="s">
        <v>1008</v>
      </c>
      <c r="L3438" s="318" t="s">
        <v>186</v>
      </c>
      <c r="M3438" s="320">
        <v>3962065</v>
      </c>
      <c r="N3438" s="53">
        <v>719</v>
      </c>
      <c r="O3438" s="54">
        <v>0</v>
      </c>
    </row>
    <row r="3439" spans="8:15" ht="15.75" customHeight="1" thickBot="1" x14ac:dyDescent="0.3">
      <c r="H3439" s="311"/>
      <c r="I3439" s="313"/>
      <c r="J3439" s="211"/>
      <c r="K3439" s="317"/>
      <c r="L3439" s="319"/>
      <c r="M3439" s="321"/>
      <c r="N3439" s="55">
        <v>721</v>
      </c>
      <c r="O3439" s="113">
        <f>+M3438-O3438</f>
        <v>3962065</v>
      </c>
    </row>
    <row r="3440" spans="8:15" ht="14.25" customHeight="1" x14ac:dyDescent="0.25">
      <c r="H3440" s="310" t="s">
        <v>1009</v>
      </c>
      <c r="I3440" s="312">
        <v>42734</v>
      </c>
      <c r="J3440" s="211"/>
      <c r="K3440" s="316" t="s">
        <v>1010</v>
      </c>
      <c r="L3440" s="318" t="s">
        <v>186</v>
      </c>
      <c r="M3440" s="320">
        <v>2449488</v>
      </c>
      <c r="N3440" s="53">
        <v>719</v>
      </c>
      <c r="O3440" s="54">
        <v>0</v>
      </c>
    </row>
    <row r="3441" spans="8:15" ht="14.25" customHeight="1" thickBot="1" x14ac:dyDescent="0.3">
      <c r="H3441" s="311"/>
      <c r="I3441" s="313"/>
      <c r="J3441" s="211"/>
      <c r="K3441" s="317"/>
      <c r="L3441" s="319"/>
      <c r="M3441" s="321"/>
      <c r="N3441" s="55">
        <v>721</v>
      </c>
      <c r="O3441" s="113">
        <f>+M3440-O3440</f>
        <v>2449488</v>
      </c>
    </row>
    <row r="3442" spans="8:15" ht="13.5" customHeight="1" x14ac:dyDescent="0.25">
      <c r="H3442" s="310" t="s">
        <v>1011</v>
      </c>
      <c r="I3442" s="312">
        <v>42734</v>
      </c>
      <c r="J3442" s="211"/>
      <c r="K3442" s="316" t="s">
        <v>1012</v>
      </c>
      <c r="L3442" s="318" t="s">
        <v>186</v>
      </c>
      <c r="M3442" s="320">
        <v>4151192</v>
      </c>
      <c r="N3442" s="53">
        <v>719</v>
      </c>
      <c r="O3442" s="54">
        <v>0</v>
      </c>
    </row>
    <row r="3443" spans="8:15" ht="15.75" customHeight="1" thickBot="1" x14ac:dyDescent="0.3">
      <c r="H3443" s="311"/>
      <c r="I3443" s="313"/>
      <c r="J3443" s="211"/>
      <c r="K3443" s="317"/>
      <c r="L3443" s="319"/>
      <c r="M3443" s="321"/>
      <c r="N3443" s="55">
        <v>721</v>
      </c>
      <c r="O3443" s="113">
        <f>+M3442-O3442</f>
        <v>4151192</v>
      </c>
    </row>
    <row r="3444" spans="8:15" ht="12.75" customHeight="1" x14ac:dyDescent="0.25">
      <c r="H3444" s="310" t="s">
        <v>1013</v>
      </c>
      <c r="I3444" s="312">
        <v>42734</v>
      </c>
      <c r="J3444" s="211"/>
      <c r="K3444" s="316" t="s">
        <v>1014</v>
      </c>
      <c r="L3444" s="318" t="s">
        <v>186</v>
      </c>
      <c r="M3444" s="320">
        <v>1734563</v>
      </c>
      <c r="N3444" s="53">
        <v>719</v>
      </c>
      <c r="O3444" s="54"/>
    </row>
    <row r="3445" spans="8:15" ht="12.75" customHeight="1" thickBot="1" x14ac:dyDescent="0.3">
      <c r="H3445" s="311"/>
      <c r="I3445" s="313"/>
      <c r="J3445" s="212"/>
      <c r="K3445" s="317"/>
      <c r="L3445" s="319"/>
      <c r="M3445" s="321"/>
      <c r="N3445" s="55">
        <v>721</v>
      </c>
      <c r="O3445" s="56">
        <f>+M3444-O3444</f>
        <v>1734563</v>
      </c>
    </row>
    <row r="3446" spans="8:15" ht="16.5" thickBot="1" x14ac:dyDescent="0.3">
      <c r="H3446" s="297" t="s">
        <v>80</v>
      </c>
      <c r="I3446" s="298"/>
      <c r="J3446" s="298"/>
      <c r="K3446" s="298"/>
      <c r="L3446" s="299"/>
      <c r="M3446" s="62">
        <f>SUM(M3434:M3445)</f>
        <v>31957150</v>
      </c>
    </row>
    <row r="3447" spans="8:15" ht="16.5" thickBot="1" x14ac:dyDescent="0.3">
      <c r="H3447" s="300" t="s">
        <v>81</v>
      </c>
      <c r="I3447" s="301"/>
      <c r="J3447" s="301"/>
      <c r="K3447" s="301"/>
      <c r="L3447" s="302"/>
      <c r="M3447" s="63">
        <f>+M3408</f>
        <v>297272275</v>
      </c>
      <c r="N3447" s="64" t="s">
        <v>82</v>
      </c>
      <c r="O3447" s="65"/>
    </row>
    <row r="3448" spans="8:15" ht="16.5" thickBot="1" x14ac:dyDescent="0.3">
      <c r="H3448" s="303" t="s">
        <v>83</v>
      </c>
      <c r="I3448" s="304"/>
      <c r="J3448" s="304"/>
      <c r="K3448" s="304"/>
      <c r="L3448" s="305"/>
      <c r="M3448" s="66">
        <f>SUM(M3446:M3447)</f>
        <v>329229425</v>
      </c>
    </row>
    <row r="3449" spans="8:15" ht="12.75" customHeight="1" x14ac:dyDescent="0.25">
      <c r="H3449" s="67"/>
      <c r="I3449" s="67"/>
      <c r="J3449" s="67"/>
      <c r="K3449" s="67"/>
      <c r="L3449" s="67"/>
    </row>
    <row r="3450" spans="8:15" x14ac:dyDescent="0.25">
      <c r="H3450" s="41" t="s">
        <v>1015</v>
      </c>
    </row>
    <row r="3451" spans="8:15" ht="8.25" customHeight="1" x14ac:dyDescent="0.25">
      <c r="M3451" s="68"/>
    </row>
    <row r="3452" spans="8:15" x14ac:dyDescent="0.25">
      <c r="H3452" s="40" t="s">
        <v>86</v>
      </c>
      <c r="K3452" s="69"/>
      <c r="M3452" s="68"/>
    </row>
    <row r="3453" spans="8:15" ht="9" customHeight="1" thickBot="1" x14ac:dyDescent="0.3"/>
    <row r="3454" spans="8:15" ht="15.75" thickBot="1" x14ac:dyDescent="0.3">
      <c r="H3454" s="306" t="s">
        <v>87</v>
      </c>
      <c r="I3454" s="307"/>
      <c r="J3454" s="307"/>
      <c r="K3454" s="308"/>
      <c r="M3454" s="40" t="s">
        <v>874</v>
      </c>
    </row>
    <row r="3455" spans="8:15" ht="30.75" thickBot="1" x14ac:dyDescent="0.3">
      <c r="H3455" s="70" t="s">
        <v>62</v>
      </c>
      <c r="I3455" s="71" t="s">
        <v>90</v>
      </c>
      <c r="J3455" s="204" t="s">
        <v>91</v>
      </c>
      <c r="K3455" s="73" t="s">
        <v>92</v>
      </c>
    </row>
    <row r="3456" spans="8:15" x14ac:dyDescent="0.25">
      <c r="H3456" s="75">
        <v>719</v>
      </c>
      <c r="I3456" s="76">
        <f>+O3438+O3440+O3444+O3442</f>
        <v>0</v>
      </c>
      <c r="J3456" s="77">
        <f>+K3416</f>
        <v>37850000</v>
      </c>
      <c r="K3456" s="79">
        <f>+I3456+J3456</f>
        <v>37850000</v>
      </c>
    </row>
    <row r="3457" spans="8:15" x14ac:dyDescent="0.25">
      <c r="H3457" s="80">
        <v>721</v>
      </c>
      <c r="I3457" s="81">
        <f>+O3445+O3443+O3441+O3439+O3437+O3435</f>
        <v>31957150</v>
      </c>
      <c r="J3457" s="77">
        <f>+K3417</f>
        <v>250309659</v>
      </c>
      <c r="K3457" s="79">
        <f>+I3457+J3457</f>
        <v>282266809</v>
      </c>
    </row>
    <row r="3458" spans="8:15" x14ac:dyDescent="0.25">
      <c r="H3458" s="80">
        <v>722</v>
      </c>
      <c r="I3458" s="81"/>
      <c r="J3458" s="77">
        <f>+K3418</f>
        <v>6180000</v>
      </c>
      <c r="K3458" s="79">
        <f>+I3458+J3458</f>
        <v>6180000</v>
      </c>
    </row>
    <row r="3459" spans="8:15" ht="15.75" x14ac:dyDescent="0.25">
      <c r="H3459" s="80">
        <v>723</v>
      </c>
      <c r="I3459" s="81"/>
      <c r="J3459" s="77">
        <f>+K3419</f>
        <v>18657653</v>
      </c>
      <c r="K3459" s="79">
        <f>+I3459+J3459</f>
        <v>18657653</v>
      </c>
      <c r="M3459" s="109" t="s">
        <v>875</v>
      </c>
      <c r="N3459" s="84"/>
    </row>
    <row r="3460" spans="8:15" ht="16.5" thickBot="1" x14ac:dyDescent="0.3">
      <c r="H3460" s="85" t="s">
        <v>854</v>
      </c>
      <c r="I3460" s="86"/>
      <c r="J3460" s="77" t="e">
        <f>+K3420</f>
        <v>#REF!</v>
      </c>
      <c r="K3460" s="89" t="e">
        <f>+I3460+J3460</f>
        <v>#REF!</v>
      </c>
      <c r="M3460" s="45"/>
    </row>
    <row r="3461" spans="8:15" ht="16.5" thickBot="1" x14ac:dyDescent="0.3">
      <c r="H3461" s="90"/>
      <c r="I3461" s="94">
        <f>SUM(I3456:I3460)</f>
        <v>31957150</v>
      </c>
      <c r="J3461" s="94" t="e">
        <f>SUM(J3456:J3460)</f>
        <v>#REF!</v>
      </c>
      <c r="K3461" s="95" t="e">
        <f>SUM(K3456:K3460)</f>
        <v>#REF!</v>
      </c>
    </row>
    <row r="3462" spans="8:15" ht="16.5" x14ac:dyDescent="0.25">
      <c r="H3462" s="39" t="s">
        <v>46</v>
      </c>
      <c r="I3462" s="40"/>
    </row>
    <row r="3463" spans="8:15" x14ac:dyDescent="0.25">
      <c r="H3463" s="41" t="s">
        <v>47</v>
      </c>
    </row>
    <row r="3464" spans="8:15" x14ac:dyDescent="0.25">
      <c r="H3464" s="41" t="s">
        <v>48</v>
      </c>
    </row>
    <row r="3465" spans="8:15" x14ac:dyDescent="0.25">
      <c r="H3465" s="41" t="s">
        <v>49</v>
      </c>
    </row>
    <row r="3466" spans="8:15" x14ac:dyDescent="0.25">
      <c r="H3466" s="40"/>
      <c r="I3466" s="40"/>
    </row>
    <row r="3467" spans="8:15" ht="15.75" x14ac:dyDescent="0.25">
      <c r="H3467" s="188" t="s">
        <v>1016</v>
      </c>
      <c r="N3467" s="45"/>
    </row>
    <row r="3468" spans="8:15" ht="15.75" x14ac:dyDescent="0.25">
      <c r="H3468" s="47" t="s">
        <v>704</v>
      </c>
      <c r="N3468" s="47"/>
    </row>
    <row r="3469" spans="8:15" ht="16.5" x14ac:dyDescent="0.25">
      <c r="H3469" s="326" t="s">
        <v>1017</v>
      </c>
      <c r="I3469" s="326"/>
      <c r="J3469" s="326"/>
      <c r="K3469" s="326"/>
      <c r="L3469" s="326"/>
      <c r="M3469" s="326"/>
      <c r="N3469" s="326"/>
      <c r="O3469" s="326"/>
    </row>
    <row r="3470" spans="8:15" ht="15.75" thickBot="1" x14ac:dyDescent="0.3"/>
    <row r="3471" spans="8:15" x14ac:dyDescent="0.25">
      <c r="H3471" s="327" t="s">
        <v>56</v>
      </c>
      <c r="I3471" s="322" t="s">
        <v>57</v>
      </c>
      <c r="J3471" s="322" t="s">
        <v>58</v>
      </c>
      <c r="K3471" s="322" t="s">
        <v>7</v>
      </c>
      <c r="L3471" s="322" t="s">
        <v>59</v>
      </c>
      <c r="M3471" s="322" t="s">
        <v>60</v>
      </c>
      <c r="N3471" s="322" t="s">
        <v>61</v>
      </c>
      <c r="O3471" s="324"/>
    </row>
    <row r="3472" spans="8:15" ht="15.75" thickBot="1" x14ac:dyDescent="0.3">
      <c r="H3472" s="328"/>
      <c r="I3472" s="323"/>
      <c r="J3472" s="323"/>
      <c r="K3472" s="323"/>
      <c r="L3472" s="323"/>
      <c r="M3472" s="323"/>
      <c r="N3472" s="51" t="s">
        <v>62</v>
      </c>
      <c r="O3472" s="52" t="s">
        <v>63</v>
      </c>
    </row>
    <row r="3473" spans="8:15" x14ac:dyDescent="0.25">
      <c r="H3473" s="310" t="s">
        <v>1018</v>
      </c>
      <c r="I3473" s="312">
        <v>42734</v>
      </c>
      <c r="J3473" s="314" t="s">
        <v>1019</v>
      </c>
      <c r="K3473" s="316" t="s">
        <v>1020</v>
      </c>
      <c r="L3473" s="318" t="s">
        <v>5</v>
      </c>
      <c r="M3473" s="320">
        <v>1817700</v>
      </c>
      <c r="N3473" s="53">
        <v>719</v>
      </c>
      <c r="O3473" s="54"/>
    </row>
    <row r="3474" spans="8:15" ht="15.75" thickBot="1" x14ac:dyDescent="0.3">
      <c r="H3474" s="311"/>
      <c r="I3474" s="313"/>
      <c r="J3474" s="315"/>
      <c r="K3474" s="317"/>
      <c r="L3474" s="319"/>
      <c r="M3474" s="321"/>
      <c r="N3474" s="55">
        <v>723</v>
      </c>
      <c r="O3474" s="206">
        <f>+M3473-O3473</f>
        <v>1817700</v>
      </c>
    </row>
    <row r="3475" spans="8:15" x14ac:dyDescent="0.25">
      <c r="H3475" s="310"/>
      <c r="I3475" s="312"/>
      <c r="J3475" s="314"/>
      <c r="K3475" s="316"/>
      <c r="L3475" s="318"/>
      <c r="M3475" s="320"/>
      <c r="N3475" s="53">
        <v>719</v>
      </c>
      <c r="O3475" s="54"/>
    </row>
    <row r="3476" spans="8:15" ht="15.75" thickBot="1" x14ac:dyDescent="0.3">
      <c r="H3476" s="311"/>
      <c r="I3476" s="313"/>
      <c r="J3476" s="315"/>
      <c r="K3476" s="317"/>
      <c r="L3476" s="319"/>
      <c r="M3476" s="321"/>
      <c r="N3476" s="55">
        <v>723</v>
      </c>
      <c r="O3476" s="113">
        <f>+M3475-O3475</f>
        <v>0</v>
      </c>
    </row>
    <row r="3477" spans="8:15" x14ac:dyDescent="0.25">
      <c r="H3477" s="310"/>
      <c r="I3477" s="312"/>
      <c r="J3477" s="314"/>
      <c r="K3477" s="316"/>
      <c r="L3477" s="318"/>
      <c r="M3477" s="320"/>
      <c r="N3477" s="53">
        <v>719</v>
      </c>
      <c r="O3477" s="54"/>
    </row>
    <row r="3478" spans="8:15" ht="15.75" thickBot="1" x14ac:dyDescent="0.3">
      <c r="H3478" s="311"/>
      <c r="I3478" s="313"/>
      <c r="J3478" s="315"/>
      <c r="K3478" s="317"/>
      <c r="L3478" s="319"/>
      <c r="M3478" s="321"/>
      <c r="N3478" s="55">
        <v>722</v>
      </c>
      <c r="O3478" s="113">
        <f>+M3477-O3477</f>
        <v>0</v>
      </c>
    </row>
    <row r="3479" spans="8:15" x14ac:dyDescent="0.25">
      <c r="H3479" s="318"/>
      <c r="I3479" s="312"/>
      <c r="J3479" s="314"/>
      <c r="K3479" s="329"/>
      <c r="L3479" s="318"/>
      <c r="M3479" s="320"/>
      <c r="N3479" s="53">
        <v>719</v>
      </c>
      <c r="O3479" s="54"/>
    </row>
    <row r="3480" spans="8:15" ht="15.75" thickBot="1" x14ac:dyDescent="0.3">
      <c r="H3480" s="319"/>
      <c r="I3480" s="313"/>
      <c r="J3480" s="315"/>
      <c r="K3480" s="317"/>
      <c r="L3480" s="319"/>
      <c r="M3480" s="321"/>
      <c r="N3480" s="55">
        <v>722</v>
      </c>
      <c r="O3480" s="56">
        <f>+M3479-O3479</f>
        <v>0</v>
      </c>
    </row>
    <row r="3481" spans="8:15" ht="16.5" thickBot="1" x14ac:dyDescent="0.3">
      <c r="H3481" s="297" t="s">
        <v>80</v>
      </c>
      <c r="I3481" s="298"/>
      <c r="J3481" s="298"/>
      <c r="K3481" s="298"/>
      <c r="L3481" s="299"/>
      <c r="M3481" s="62">
        <f>SUM(M3473:M3480)</f>
        <v>1817700</v>
      </c>
    </row>
    <row r="3482" spans="8:15" ht="16.5" thickBot="1" x14ac:dyDescent="0.3">
      <c r="H3482" s="300" t="s">
        <v>81</v>
      </c>
      <c r="I3482" s="301"/>
      <c r="J3482" s="301"/>
      <c r="K3482" s="301"/>
      <c r="L3482" s="302"/>
      <c r="M3482" s="63">
        <f>+M3448</f>
        <v>329229425</v>
      </c>
      <c r="N3482" s="64" t="s">
        <v>82</v>
      </c>
      <c r="O3482" s="65"/>
    </row>
    <row r="3483" spans="8:15" ht="16.5" thickBot="1" x14ac:dyDescent="0.3">
      <c r="H3483" s="303" t="s">
        <v>83</v>
      </c>
      <c r="I3483" s="304"/>
      <c r="J3483" s="304"/>
      <c r="K3483" s="304"/>
      <c r="L3483" s="305"/>
      <c r="M3483" s="66">
        <f>SUM(M3481:M3482)</f>
        <v>331047125</v>
      </c>
    </row>
    <row r="3484" spans="8:15" x14ac:dyDescent="0.25">
      <c r="H3484" s="67"/>
      <c r="I3484" s="67"/>
      <c r="J3484" s="67"/>
      <c r="K3484" s="67"/>
      <c r="L3484" s="67"/>
    </row>
    <row r="3485" spans="8:15" x14ac:dyDescent="0.25">
      <c r="H3485" s="41" t="s">
        <v>1021</v>
      </c>
    </row>
    <row r="3486" spans="8:15" x14ac:dyDescent="0.25">
      <c r="M3486" s="68"/>
    </row>
    <row r="3487" spans="8:15" x14ac:dyDescent="0.25">
      <c r="H3487" s="40" t="s">
        <v>86</v>
      </c>
      <c r="K3487" s="69"/>
      <c r="M3487" s="68"/>
    </row>
    <row r="3488" spans="8:15" ht="15.75" thickBot="1" x14ac:dyDescent="0.3"/>
    <row r="3489" spans="8:14" ht="15.75" thickBot="1" x14ac:dyDescent="0.3">
      <c r="H3489" s="306" t="s">
        <v>87</v>
      </c>
      <c r="I3489" s="307"/>
      <c r="J3489" s="307"/>
      <c r="K3489" s="308"/>
      <c r="M3489" s="40" t="s">
        <v>1022</v>
      </c>
    </row>
    <row r="3490" spans="8:14" ht="30.75" thickBot="1" x14ac:dyDescent="0.3">
      <c r="H3490" s="70" t="s">
        <v>62</v>
      </c>
      <c r="I3490" s="71" t="s">
        <v>90</v>
      </c>
      <c r="J3490" s="204" t="s">
        <v>91</v>
      </c>
      <c r="K3490" s="73" t="s">
        <v>92</v>
      </c>
    </row>
    <row r="3491" spans="8:14" x14ac:dyDescent="0.25">
      <c r="H3491" s="75">
        <v>719</v>
      </c>
      <c r="I3491" s="76"/>
      <c r="J3491" s="77">
        <f>+K3456</f>
        <v>37850000</v>
      </c>
      <c r="K3491" s="79">
        <f>+I3491+J3491</f>
        <v>37850000</v>
      </c>
    </row>
    <row r="3492" spans="8:14" x14ac:dyDescent="0.25">
      <c r="H3492" s="80">
        <v>721</v>
      </c>
      <c r="I3492" s="81"/>
      <c r="J3492" s="77">
        <f>+K3457</f>
        <v>282266809</v>
      </c>
      <c r="K3492" s="79">
        <f>+I3492+J3492</f>
        <v>282266809</v>
      </c>
    </row>
    <row r="3493" spans="8:14" x14ac:dyDescent="0.25">
      <c r="H3493" s="80">
        <v>722</v>
      </c>
      <c r="I3493" s="81"/>
      <c r="J3493" s="77">
        <f>+K3458</f>
        <v>6180000</v>
      </c>
      <c r="K3493" s="79">
        <f>+I3493+J3493</f>
        <v>6180000</v>
      </c>
    </row>
    <row r="3494" spans="8:14" ht="15.75" x14ac:dyDescent="0.25">
      <c r="H3494" s="80">
        <v>723</v>
      </c>
      <c r="I3494" s="81">
        <f>+O3474</f>
        <v>1817700</v>
      </c>
      <c r="J3494" s="77">
        <f>+K3459</f>
        <v>18657653</v>
      </c>
      <c r="K3494" s="79">
        <f>+I3494+J3494</f>
        <v>20475353</v>
      </c>
      <c r="M3494" s="109" t="s">
        <v>875</v>
      </c>
      <c r="N3494" s="84"/>
    </row>
    <row r="3495" spans="8:14" ht="16.5" thickBot="1" x14ac:dyDescent="0.3">
      <c r="H3495" s="85" t="s">
        <v>854</v>
      </c>
      <c r="I3495" s="86"/>
      <c r="J3495" s="77" t="e">
        <f>+K3460</f>
        <v>#REF!</v>
      </c>
      <c r="K3495" s="89" t="e">
        <f>+I3495+J3495</f>
        <v>#REF!</v>
      </c>
      <c r="M3495" s="45"/>
    </row>
    <row r="3496" spans="8:14" ht="16.5" thickBot="1" x14ac:dyDescent="0.3">
      <c r="H3496" s="90"/>
      <c r="I3496" s="94">
        <f>SUM(I3491:I3495)</f>
        <v>1817700</v>
      </c>
      <c r="J3496" s="94" t="e">
        <f>SUM(J3491:J3495)</f>
        <v>#REF!</v>
      </c>
      <c r="K3496" s="95" t="e">
        <f>SUM(K3491:K3495)</f>
        <v>#REF!</v>
      </c>
    </row>
    <row r="3497" spans="8:14" ht="15.75" x14ac:dyDescent="0.25">
      <c r="H3497" s="207"/>
      <c r="I3497" s="208"/>
      <c r="J3497" s="208"/>
      <c r="K3497" s="209"/>
    </row>
    <row r="3498" spans="8:14" ht="16.5" x14ac:dyDescent="0.25">
      <c r="H3498" s="39" t="s">
        <v>46</v>
      </c>
      <c r="I3498" s="40"/>
    </row>
    <row r="3499" spans="8:14" x14ac:dyDescent="0.25">
      <c r="H3499" s="41" t="s">
        <v>47</v>
      </c>
    </row>
    <row r="3500" spans="8:14" x14ac:dyDescent="0.25">
      <c r="H3500" s="41" t="s">
        <v>48</v>
      </c>
    </row>
    <row r="3501" spans="8:14" x14ac:dyDescent="0.25">
      <c r="H3501" s="41" t="s">
        <v>49</v>
      </c>
    </row>
    <row r="3502" spans="8:14" x14ac:dyDescent="0.25">
      <c r="H3502" s="40"/>
      <c r="I3502" s="40"/>
    </row>
    <row r="3503" spans="8:14" ht="15.75" x14ac:dyDescent="0.25">
      <c r="H3503" s="188" t="s">
        <v>1023</v>
      </c>
      <c r="N3503" s="45"/>
    </row>
    <row r="3504" spans="8:14" ht="15.75" x14ac:dyDescent="0.25">
      <c r="H3504" s="47" t="s">
        <v>704</v>
      </c>
      <c r="N3504" s="47"/>
    </row>
    <row r="3505" spans="8:15" ht="16.5" x14ac:dyDescent="0.25">
      <c r="H3505" s="326" t="s">
        <v>1024</v>
      </c>
      <c r="I3505" s="326"/>
      <c r="J3505" s="326"/>
      <c r="K3505" s="326"/>
      <c r="L3505" s="326"/>
      <c r="M3505" s="326"/>
      <c r="N3505" s="326"/>
      <c r="O3505" s="326"/>
    </row>
    <row r="3506" spans="8:15" ht="15.75" thickBot="1" x14ac:dyDescent="0.3"/>
    <row r="3507" spans="8:15" x14ac:dyDescent="0.25">
      <c r="H3507" s="327" t="s">
        <v>56</v>
      </c>
      <c r="I3507" s="322" t="s">
        <v>57</v>
      </c>
      <c r="J3507" s="322" t="s">
        <v>58</v>
      </c>
      <c r="K3507" s="322" t="s">
        <v>7</v>
      </c>
      <c r="L3507" s="322" t="s">
        <v>59</v>
      </c>
      <c r="M3507" s="322" t="s">
        <v>60</v>
      </c>
      <c r="N3507" s="322" t="s">
        <v>61</v>
      </c>
      <c r="O3507" s="324"/>
    </row>
    <row r="3508" spans="8:15" ht="15.75" thickBot="1" x14ac:dyDescent="0.3">
      <c r="H3508" s="328"/>
      <c r="I3508" s="323"/>
      <c r="J3508" s="323"/>
      <c r="K3508" s="323"/>
      <c r="L3508" s="323"/>
      <c r="M3508" s="323"/>
      <c r="N3508" s="51" t="s">
        <v>62</v>
      </c>
      <c r="O3508" s="52" t="s">
        <v>63</v>
      </c>
    </row>
    <row r="3509" spans="8:15" ht="15" customHeight="1" x14ac:dyDescent="0.25">
      <c r="H3509" s="310" t="s">
        <v>567</v>
      </c>
      <c r="I3509" s="312">
        <v>42735</v>
      </c>
      <c r="J3509" s="314" t="s">
        <v>977</v>
      </c>
      <c r="K3509" s="316" t="s">
        <v>946</v>
      </c>
      <c r="L3509" s="318" t="s">
        <v>186</v>
      </c>
      <c r="M3509" s="320">
        <v>-14718204</v>
      </c>
      <c r="N3509" s="53">
        <v>719</v>
      </c>
      <c r="O3509" s="54"/>
    </row>
    <row r="3510" spans="8:15" ht="15.75" customHeight="1" thickBot="1" x14ac:dyDescent="0.3">
      <c r="H3510" s="311"/>
      <c r="I3510" s="313"/>
      <c r="J3510" s="325"/>
      <c r="K3510" s="317"/>
      <c r="L3510" s="319"/>
      <c r="M3510" s="321"/>
      <c r="N3510" s="55">
        <v>721</v>
      </c>
      <c r="O3510" s="206">
        <f>+M3509-O3509</f>
        <v>-14718204</v>
      </c>
    </row>
    <row r="3511" spans="8:15" ht="15" customHeight="1" x14ac:dyDescent="0.25">
      <c r="H3511" s="310" t="s">
        <v>569</v>
      </c>
      <c r="I3511" s="312">
        <v>42735</v>
      </c>
      <c r="J3511" s="325"/>
      <c r="K3511" s="316" t="s">
        <v>1008</v>
      </c>
      <c r="L3511" s="318" t="s">
        <v>186</v>
      </c>
      <c r="M3511" s="320">
        <v>-3962065</v>
      </c>
      <c r="N3511" s="53">
        <v>719</v>
      </c>
      <c r="O3511" s="54"/>
    </row>
    <row r="3512" spans="8:15" ht="15.75" customHeight="1" thickBot="1" x14ac:dyDescent="0.3">
      <c r="H3512" s="311"/>
      <c r="I3512" s="313"/>
      <c r="J3512" s="315"/>
      <c r="K3512" s="317"/>
      <c r="L3512" s="319"/>
      <c r="M3512" s="321"/>
      <c r="N3512" s="55">
        <v>721</v>
      </c>
      <c r="O3512" s="113">
        <f>+M3511-O3511</f>
        <v>-3962065</v>
      </c>
    </row>
    <row r="3513" spans="8:15" ht="15.75" customHeight="1" x14ac:dyDescent="0.25">
      <c r="H3513" s="213"/>
      <c r="I3513" s="58"/>
      <c r="J3513" s="103"/>
      <c r="K3513" s="214"/>
      <c r="L3513" s="57"/>
      <c r="M3513" s="60"/>
      <c r="N3513" s="61"/>
      <c r="O3513" s="215"/>
    </row>
    <row r="3514" spans="8:15" ht="15.75" customHeight="1" x14ac:dyDescent="0.25">
      <c r="H3514" s="213"/>
      <c r="I3514" s="58"/>
      <c r="J3514" s="103"/>
      <c r="K3514" s="214"/>
      <c r="L3514" s="57"/>
      <c r="M3514" s="60"/>
      <c r="N3514" s="61"/>
      <c r="O3514" s="215"/>
    </row>
    <row r="3515" spans="8:15" ht="15.75" customHeight="1" x14ac:dyDescent="0.25">
      <c r="H3515" s="213"/>
      <c r="I3515" s="58"/>
      <c r="J3515" s="103"/>
      <c r="K3515" s="214"/>
      <c r="L3515" s="57"/>
      <c r="M3515" s="60"/>
      <c r="N3515" s="61"/>
      <c r="O3515" s="215"/>
    </row>
    <row r="3516" spans="8:15" ht="15.75" customHeight="1" thickBot="1" x14ac:dyDescent="0.3">
      <c r="H3516" s="213"/>
      <c r="I3516" s="58"/>
      <c r="J3516" s="103"/>
      <c r="K3516" s="214"/>
      <c r="L3516" s="57"/>
      <c r="M3516" s="60"/>
      <c r="N3516" s="61"/>
      <c r="O3516" s="215"/>
    </row>
    <row r="3517" spans="8:15" ht="15" customHeight="1" x14ac:dyDescent="0.25">
      <c r="H3517" s="310"/>
      <c r="I3517" s="312"/>
      <c r="J3517" s="314"/>
      <c r="K3517" s="316"/>
      <c r="L3517" s="318"/>
      <c r="M3517" s="320"/>
      <c r="N3517" s="53">
        <v>719</v>
      </c>
      <c r="O3517" s="54"/>
    </row>
    <row r="3518" spans="8:15" ht="15.75" customHeight="1" thickBot="1" x14ac:dyDescent="0.3">
      <c r="H3518" s="311"/>
      <c r="I3518" s="313"/>
      <c r="J3518" s="315"/>
      <c r="K3518" s="317"/>
      <c r="L3518" s="319"/>
      <c r="M3518" s="321"/>
      <c r="N3518" s="55">
        <v>722</v>
      </c>
      <c r="O3518" s="113"/>
    </row>
    <row r="3519" spans="8:15" ht="15" customHeight="1" x14ac:dyDescent="0.25">
      <c r="H3519" s="310"/>
      <c r="I3519" s="312"/>
      <c r="J3519" s="314"/>
      <c r="K3519" s="316"/>
      <c r="L3519" s="318"/>
      <c r="M3519" s="320"/>
      <c r="N3519" s="53">
        <v>719</v>
      </c>
      <c r="O3519" s="54"/>
    </row>
    <row r="3520" spans="8:15" ht="15.75" customHeight="1" thickBot="1" x14ac:dyDescent="0.3">
      <c r="H3520" s="311"/>
      <c r="I3520" s="313"/>
      <c r="J3520" s="315"/>
      <c r="K3520" s="317"/>
      <c r="L3520" s="319"/>
      <c r="M3520" s="321"/>
      <c r="N3520" s="55">
        <v>722</v>
      </c>
      <c r="O3520" s="56">
        <f>+M3519-O3519</f>
        <v>0</v>
      </c>
    </row>
    <row r="3521" spans="8:15" ht="16.5" thickBot="1" x14ac:dyDescent="0.3">
      <c r="H3521" s="297" t="s">
        <v>80</v>
      </c>
      <c r="I3521" s="298"/>
      <c r="J3521" s="298"/>
      <c r="K3521" s="298"/>
      <c r="L3521" s="299"/>
      <c r="M3521" s="62">
        <f>SUM(M3509:M3520)</f>
        <v>-18680269</v>
      </c>
    </row>
    <row r="3522" spans="8:15" ht="16.5" thickBot="1" x14ac:dyDescent="0.3">
      <c r="H3522" s="300" t="s">
        <v>81</v>
      </c>
      <c r="I3522" s="301"/>
      <c r="J3522" s="301"/>
      <c r="K3522" s="301"/>
      <c r="L3522" s="302"/>
      <c r="M3522" s="63">
        <f>+M3483</f>
        <v>331047125</v>
      </c>
      <c r="N3522" s="64" t="s">
        <v>82</v>
      </c>
      <c r="O3522" s="65"/>
    </row>
    <row r="3523" spans="8:15" ht="16.5" thickBot="1" x14ac:dyDescent="0.3">
      <c r="H3523" s="303" t="s">
        <v>83</v>
      </c>
      <c r="I3523" s="304"/>
      <c r="J3523" s="304"/>
      <c r="K3523" s="304"/>
      <c r="L3523" s="305"/>
      <c r="M3523" s="66">
        <f>SUM(M3521:M3522)</f>
        <v>312366856</v>
      </c>
    </row>
    <row r="3524" spans="8:15" x14ac:dyDescent="0.25">
      <c r="H3524" s="67"/>
      <c r="I3524" s="67"/>
      <c r="J3524" s="67"/>
      <c r="K3524" s="67"/>
      <c r="L3524" s="67"/>
    </row>
    <row r="3525" spans="8:15" x14ac:dyDescent="0.25">
      <c r="H3525" s="41" t="s">
        <v>1025</v>
      </c>
    </row>
    <row r="3526" spans="8:15" x14ac:dyDescent="0.25">
      <c r="M3526" s="68"/>
    </row>
    <row r="3527" spans="8:15" x14ac:dyDescent="0.25">
      <c r="H3527" s="40" t="s">
        <v>86</v>
      </c>
      <c r="K3527" s="69"/>
      <c r="M3527" s="68"/>
    </row>
    <row r="3528" spans="8:15" ht="15.75" thickBot="1" x14ac:dyDescent="0.3"/>
    <row r="3529" spans="8:15" ht="15.75" thickBot="1" x14ac:dyDescent="0.3">
      <c r="H3529" s="306" t="s">
        <v>87</v>
      </c>
      <c r="I3529" s="307"/>
      <c r="J3529" s="307"/>
      <c r="K3529" s="308"/>
      <c r="M3529" s="40" t="s">
        <v>89</v>
      </c>
    </row>
    <row r="3530" spans="8:15" ht="30.75" thickBot="1" x14ac:dyDescent="0.3">
      <c r="H3530" s="70" t="s">
        <v>62</v>
      </c>
      <c r="I3530" s="71" t="s">
        <v>90</v>
      </c>
      <c r="J3530" s="204" t="s">
        <v>91</v>
      </c>
      <c r="K3530" s="73" t="s">
        <v>92</v>
      </c>
    </row>
    <row r="3531" spans="8:15" x14ac:dyDescent="0.25">
      <c r="H3531" s="75">
        <v>719</v>
      </c>
      <c r="I3531" s="76">
        <f>+O3509+O3511+O3519</f>
        <v>0</v>
      </c>
      <c r="J3531" s="77">
        <f>+K3491</f>
        <v>37850000</v>
      </c>
      <c r="K3531" s="79">
        <f>+I3531+J3531</f>
        <v>37850000</v>
      </c>
    </row>
    <row r="3532" spans="8:15" x14ac:dyDescent="0.25">
      <c r="H3532" s="80">
        <v>721</v>
      </c>
      <c r="I3532" s="81">
        <f>+O3510+O3512</f>
        <v>-18680269</v>
      </c>
      <c r="J3532" s="77">
        <f>+K3492</f>
        <v>282266809</v>
      </c>
      <c r="K3532" s="79">
        <f>+I3532+J3532</f>
        <v>263586540</v>
      </c>
    </row>
    <row r="3533" spans="8:15" ht="15.75" x14ac:dyDescent="0.25">
      <c r="H3533" s="80">
        <v>722</v>
      </c>
      <c r="I3533" s="81"/>
      <c r="J3533" s="77">
        <f>+K3493</f>
        <v>6180000</v>
      </c>
      <c r="K3533" s="79">
        <f>+I3533+J3533</f>
        <v>6180000</v>
      </c>
      <c r="M3533" s="109" t="s">
        <v>875</v>
      </c>
    </row>
    <row r="3534" spans="8:15" ht="15.75" x14ac:dyDescent="0.25">
      <c r="H3534" s="80">
        <v>723</v>
      </c>
      <c r="I3534" s="81"/>
      <c r="J3534" s="77">
        <f>+K3494</f>
        <v>20475353</v>
      </c>
      <c r="K3534" s="79">
        <f>+I3534+J3534</f>
        <v>20475353</v>
      </c>
      <c r="M3534" s="109"/>
      <c r="N3534" s="84"/>
    </row>
    <row r="3535" spans="8:15" ht="16.5" thickBot="1" x14ac:dyDescent="0.3">
      <c r="H3535" s="85" t="s">
        <v>854</v>
      </c>
      <c r="I3535" s="86"/>
      <c r="J3535" s="77" t="e">
        <f>+K3495</f>
        <v>#REF!</v>
      </c>
      <c r="K3535" s="89" t="e">
        <f>+I3535+J3535</f>
        <v>#REF!</v>
      </c>
      <c r="M3535" s="45"/>
    </row>
    <row r="3536" spans="8:15" ht="16.5" thickBot="1" x14ac:dyDescent="0.3">
      <c r="H3536" s="90"/>
      <c r="I3536" s="94">
        <f>SUM(I3531:I3535)</f>
        <v>-18680269</v>
      </c>
      <c r="J3536" s="94" t="e">
        <f>SUM(J3531:J3535)</f>
        <v>#REF!</v>
      </c>
      <c r="K3536" s="95" t="e">
        <f>SUM(K3531:K3535)</f>
        <v>#REF!</v>
      </c>
    </row>
    <row r="3537" spans="8:15" ht="15.75" x14ac:dyDescent="0.25">
      <c r="H3537" s="207"/>
      <c r="I3537" s="208"/>
      <c r="J3537" s="208"/>
      <c r="K3537" s="209"/>
    </row>
    <row r="3538" spans="8:15" ht="16.5" x14ac:dyDescent="0.25">
      <c r="H3538" s="39" t="s">
        <v>46</v>
      </c>
      <c r="I3538" s="40"/>
    </row>
    <row r="3539" spans="8:15" x14ac:dyDescent="0.25">
      <c r="H3539" s="41" t="s">
        <v>47</v>
      </c>
    </row>
    <row r="3540" spans="8:15" x14ac:dyDescent="0.25">
      <c r="H3540" s="41" t="s">
        <v>48</v>
      </c>
    </row>
    <row r="3541" spans="8:15" x14ac:dyDescent="0.25">
      <c r="H3541" s="41" t="s">
        <v>49</v>
      </c>
    </row>
    <row r="3542" spans="8:15" x14ac:dyDescent="0.25">
      <c r="H3542" s="40"/>
      <c r="I3542" s="40"/>
    </row>
    <row r="3543" spans="8:15" ht="15.75" x14ac:dyDescent="0.25">
      <c r="H3543" s="188" t="s">
        <v>1026</v>
      </c>
      <c r="N3543" s="45"/>
    </row>
    <row r="3544" spans="8:15" ht="15.75" x14ac:dyDescent="0.25">
      <c r="H3544" s="47" t="s">
        <v>704</v>
      </c>
      <c r="N3544" s="47"/>
    </row>
    <row r="3545" spans="8:15" ht="16.5" x14ac:dyDescent="0.25">
      <c r="H3545" s="326" t="s">
        <v>1027</v>
      </c>
      <c r="I3545" s="326"/>
      <c r="J3545" s="326"/>
      <c r="K3545" s="326"/>
      <c r="L3545" s="326"/>
      <c r="M3545" s="326"/>
      <c r="N3545" s="326"/>
      <c r="O3545" s="326"/>
    </row>
    <row r="3546" spans="8:15" ht="15.75" thickBot="1" x14ac:dyDescent="0.3"/>
    <row r="3547" spans="8:15" x14ac:dyDescent="0.25">
      <c r="H3547" s="327" t="s">
        <v>56</v>
      </c>
      <c r="I3547" s="322" t="s">
        <v>57</v>
      </c>
      <c r="J3547" s="322" t="s">
        <v>58</v>
      </c>
      <c r="K3547" s="322" t="s">
        <v>7</v>
      </c>
      <c r="L3547" s="322" t="s">
        <v>59</v>
      </c>
      <c r="M3547" s="322" t="s">
        <v>60</v>
      </c>
      <c r="N3547" s="322" t="s">
        <v>61</v>
      </c>
      <c r="O3547" s="324"/>
    </row>
    <row r="3548" spans="8:15" ht="15.75" thickBot="1" x14ac:dyDescent="0.3">
      <c r="H3548" s="328"/>
      <c r="I3548" s="323"/>
      <c r="J3548" s="323"/>
      <c r="K3548" s="323"/>
      <c r="L3548" s="323"/>
      <c r="M3548" s="323"/>
      <c r="N3548" s="51" t="s">
        <v>62</v>
      </c>
      <c r="O3548" s="52" t="s">
        <v>63</v>
      </c>
    </row>
    <row r="3549" spans="8:15" x14ac:dyDescent="0.25">
      <c r="H3549" s="310" t="s">
        <v>1028</v>
      </c>
      <c r="I3549" s="312">
        <v>42735</v>
      </c>
      <c r="J3549" s="314" t="s">
        <v>977</v>
      </c>
      <c r="K3549" s="316" t="s">
        <v>1029</v>
      </c>
      <c r="L3549" s="318" t="s">
        <v>186</v>
      </c>
      <c r="M3549" s="320">
        <v>3379917</v>
      </c>
      <c r="N3549" s="53">
        <v>719</v>
      </c>
      <c r="O3549" s="54"/>
    </row>
    <row r="3550" spans="8:15" ht="15.75" thickBot="1" x14ac:dyDescent="0.3">
      <c r="H3550" s="311"/>
      <c r="I3550" s="313"/>
      <c r="J3550" s="325"/>
      <c r="K3550" s="317"/>
      <c r="L3550" s="319"/>
      <c r="M3550" s="321"/>
      <c r="N3550" s="55">
        <v>721</v>
      </c>
      <c r="O3550" s="206">
        <f>+M3549-O3549</f>
        <v>3379917</v>
      </c>
    </row>
    <row r="3551" spans="8:15" x14ac:dyDescent="0.25">
      <c r="H3551" s="310" t="s">
        <v>1030</v>
      </c>
      <c r="I3551" s="312">
        <v>42735</v>
      </c>
      <c r="J3551" s="325"/>
      <c r="K3551" s="316" t="s">
        <v>1031</v>
      </c>
      <c r="L3551" s="318" t="s">
        <v>186</v>
      </c>
      <c r="M3551" s="320">
        <v>1673382</v>
      </c>
      <c r="N3551" s="53">
        <v>719</v>
      </c>
      <c r="O3551" s="54"/>
    </row>
    <row r="3552" spans="8:15" ht="15.75" thickBot="1" x14ac:dyDescent="0.3">
      <c r="H3552" s="311"/>
      <c r="I3552" s="313"/>
      <c r="J3552" s="315"/>
      <c r="K3552" s="317"/>
      <c r="L3552" s="319"/>
      <c r="M3552" s="321"/>
      <c r="N3552" s="55">
        <v>721</v>
      </c>
      <c r="O3552" s="113">
        <f>+M3551-O3551</f>
        <v>1673382</v>
      </c>
    </row>
    <row r="3553" spans="8:15" ht="16.5" x14ac:dyDescent="0.25">
      <c r="H3553" s="213"/>
      <c r="I3553" s="58"/>
      <c r="J3553" s="103"/>
      <c r="K3553" s="214"/>
      <c r="L3553" s="57"/>
      <c r="M3553" s="60"/>
      <c r="N3553" s="61"/>
      <c r="O3553" s="215"/>
    </row>
    <row r="3554" spans="8:15" ht="16.5" x14ac:dyDescent="0.25">
      <c r="H3554" s="213"/>
      <c r="I3554" s="58"/>
      <c r="J3554" s="103"/>
      <c r="K3554" s="214"/>
      <c r="L3554" s="57"/>
      <c r="M3554" s="60"/>
      <c r="N3554" s="61"/>
      <c r="O3554" s="215"/>
    </row>
    <row r="3555" spans="8:15" ht="16.5" x14ac:dyDescent="0.25">
      <c r="H3555" s="213"/>
      <c r="I3555" s="58"/>
      <c r="J3555" s="103"/>
      <c r="K3555" s="214"/>
      <c r="L3555" s="57"/>
      <c r="M3555" s="60"/>
      <c r="N3555" s="61"/>
      <c r="O3555" s="215"/>
    </row>
    <row r="3556" spans="8:15" ht="16.5" x14ac:dyDescent="0.25">
      <c r="H3556" s="213"/>
      <c r="I3556" s="58"/>
      <c r="J3556" s="103"/>
      <c r="K3556" s="214"/>
      <c r="L3556" s="57"/>
      <c r="M3556" s="60"/>
      <c r="N3556" s="61"/>
      <c r="O3556" s="215"/>
    </row>
    <row r="3557" spans="8:15" ht="16.5" x14ac:dyDescent="0.25">
      <c r="H3557" s="213"/>
      <c r="I3557" s="58"/>
      <c r="J3557" s="103"/>
      <c r="K3557" s="214"/>
      <c r="L3557" s="57"/>
      <c r="M3557" s="60"/>
      <c r="N3557" s="61"/>
      <c r="O3557" s="215"/>
    </row>
    <row r="3558" spans="8:15" ht="16.5" x14ac:dyDescent="0.25">
      <c r="H3558" s="213"/>
      <c r="I3558" s="58"/>
      <c r="J3558" s="103"/>
      <c r="K3558" s="214"/>
      <c r="L3558" s="57"/>
      <c r="M3558" s="60"/>
      <c r="N3558" s="61"/>
      <c r="O3558" s="215"/>
    </row>
    <row r="3559" spans="8:15" ht="16.5" x14ac:dyDescent="0.25">
      <c r="H3559" s="213"/>
      <c r="I3559" s="58"/>
      <c r="J3559" s="103"/>
      <c r="K3559" s="214"/>
      <c r="L3559" s="57"/>
      <c r="M3559" s="60"/>
      <c r="N3559" s="61"/>
      <c r="O3559" s="215"/>
    </row>
    <row r="3560" spans="8:15" ht="16.5" x14ac:dyDescent="0.25">
      <c r="H3560" s="213"/>
      <c r="I3560" s="58"/>
      <c r="J3560" s="103"/>
      <c r="K3560" s="214"/>
      <c r="L3560" s="57"/>
      <c r="M3560" s="60"/>
      <c r="N3560" s="61"/>
      <c r="O3560" s="215"/>
    </row>
    <row r="3561" spans="8:15" ht="16.5" x14ac:dyDescent="0.25">
      <c r="H3561" s="213"/>
      <c r="I3561" s="58"/>
      <c r="J3561" s="103"/>
      <c r="K3561" s="214"/>
      <c r="L3561" s="57"/>
      <c r="M3561" s="60"/>
      <c r="N3561" s="61"/>
      <c r="O3561" s="215"/>
    </row>
    <row r="3562" spans="8:15" ht="16.5" x14ac:dyDescent="0.25">
      <c r="H3562" s="213"/>
      <c r="I3562" s="58"/>
      <c r="J3562" s="103"/>
      <c r="K3562" s="214"/>
      <c r="L3562" s="57"/>
      <c r="M3562" s="60"/>
      <c r="N3562" s="61"/>
      <c r="O3562" s="215"/>
    </row>
    <row r="3563" spans="8:15" ht="16.5" x14ac:dyDescent="0.25">
      <c r="H3563" s="213"/>
      <c r="I3563" s="58"/>
      <c r="J3563" s="103"/>
      <c r="K3563" s="214"/>
      <c r="L3563" s="57"/>
      <c r="M3563" s="60"/>
      <c r="N3563" s="61"/>
      <c r="O3563" s="215"/>
    </row>
    <row r="3564" spans="8:15" ht="17.25" thickBot="1" x14ac:dyDescent="0.3">
      <c r="H3564" s="213"/>
      <c r="I3564" s="58"/>
      <c r="J3564" s="103"/>
      <c r="K3564" s="214"/>
      <c r="L3564" s="57"/>
      <c r="M3564" s="60"/>
      <c r="N3564" s="61"/>
      <c r="O3564" s="215"/>
    </row>
    <row r="3565" spans="8:15" ht="15" customHeight="1" x14ac:dyDescent="0.25">
      <c r="H3565" s="310"/>
      <c r="I3565" s="312"/>
      <c r="J3565" s="314"/>
      <c r="K3565" s="316"/>
      <c r="L3565" s="318"/>
      <c r="M3565" s="320"/>
      <c r="N3565" s="53">
        <v>719</v>
      </c>
      <c r="O3565" s="54"/>
    </row>
    <row r="3566" spans="8:15" ht="15.75" customHeight="1" thickBot="1" x14ac:dyDescent="0.3">
      <c r="H3566" s="311"/>
      <c r="I3566" s="313"/>
      <c r="J3566" s="315"/>
      <c r="K3566" s="317"/>
      <c r="L3566" s="319"/>
      <c r="M3566" s="321"/>
      <c r="N3566" s="55">
        <v>722</v>
      </c>
      <c r="O3566" s="113"/>
    </row>
    <row r="3567" spans="8:15" ht="15" customHeight="1" x14ac:dyDescent="0.25">
      <c r="H3567" s="310"/>
      <c r="I3567" s="312"/>
      <c r="J3567" s="314"/>
      <c r="K3567" s="316"/>
      <c r="L3567" s="318"/>
      <c r="M3567" s="320"/>
      <c r="N3567" s="53">
        <v>719</v>
      </c>
      <c r="O3567" s="54"/>
    </row>
    <row r="3568" spans="8:15" ht="15.75" customHeight="1" thickBot="1" x14ac:dyDescent="0.3">
      <c r="H3568" s="311"/>
      <c r="I3568" s="313"/>
      <c r="J3568" s="315"/>
      <c r="K3568" s="317"/>
      <c r="L3568" s="319"/>
      <c r="M3568" s="321"/>
      <c r="N3568" s="55">
        <v>722</v>
      </c>
      <c r="O3568" s="56">
        <f>+M3567-O3567</f>
        <v>0</v>
      </c>
    </row>
    <row r="3569" spans="8:15" ht="16.5" thickBot="1" x14ac:dyDescent="0.3">
      <c r="H3569" s="297" t="s">
        <v>80</v>
      </c>
      <c r="I3569" s="298"/>
      <c r="J3569" s="298"/>
      <c r="K3569" s="298"/>
      <c r="L3569" s="299"/>
      <c r="M3569" s="62">
        <f>SUM(M3549:M3568)</f>
        <v>5053299</v>
      </c>
    </row>
    <row r="3570" spans="8:15" ht="16.5" thickBot="1" x14ac:dyDescent="0.3">
      <c r="H3570" s="300" t="s">
        <v>81</v>
      </c>
      <c r="I3570" s="301"/>
      <c r="J3570" s="301"/>
      <c r="K3570" s="301"/>
      <c r="L3570" s="302"/>
      <c r="M3570" s="63">
        <f>+M3523</f>
        <v>312366856</v>
      </c>
      <c r="N3570" s="64" t="s">
        <v>82</v>
      </c>
      <c r="O3570" s="65"/>
    </row>
    <row r="3571" spans="8:15" ht="16.5" thickBot="1" x14ac:dyDescent="0.3">
      <c r="H3571" s="303" t="s">
        <v>83</v>
      </c>
      <c r="I3571" s="304"/>
      <c r="J3571" s="304"/>
      <c r="K3571" s="304"/>
      <c r="L3571" s="305"/>
      <c r="M3571" s="66">
        <f>SUM(M3569:M3570)</f>
        <v>317420155</v>
      </c>
    </row>
    <row r="3572" spans="8:15" x14ac:dyDescent="0.25">
      <c r="H3572" s="67"/>
      <c r="I3572" s="67"/>
      <c r="J3572" s="67"/>
      <c r="K3572" s="67"/>
      <c r="L3572" s="67"/>
    </row>
    <row r="3573" spans="8:15" x14ac:dyDescent="0.25">
      <c r="H3573" s="41" t="s">
        <v>1032</v>
      </c>
    </row>
    <row r="3574" spans="8:15" x14ac:dyDescent="0.25">
      <c r="M3574" s="68"/>
    </row>
    <row r="3575" spans="8:15" x14ac:dyDescent="0.25">
      <c r="H3575" s="40" t="s">
        <v>86</v>
      </c>
      <c r="K3575" s="69"/>
      <c r="M3575" s="68"/>
    </row>
    <row r="3576" spans="8:15" ht="15.75" thickBot="1" x14ac:dyDescent="0.3"/>
    <row r="3577" spans="8:15" ht="15.75" thickBot="1" x14ac:dyDescent="0.3">
      <c r="H3577" s="306" t="s">
        <v>87</v>
      </c>
      <c r="I3577" s="307"/>
      <c r="J3577" s="307"/>
      <c r="K3577" s="308"/>
      <c r="M3577" s="40" t="s">
        <v>89</v>
      </c>
    </row>
    <row r="3578" spans="8:15" ht="30.75" thickBot="1" x14ac:dyDescent="0.3">
      <c r="H3578" s="70" t="s">
        <v>62</v>
      </c>
      <c r="I3578" s="71" t="s">
        <v>90</v>
      </c>
      <c r="J3578" s="204" t="s">
        <v>91</v>
      </c>
      <c r="K3578" s="73" t="s">
        <v>92</v>
      </c>
    </row>
    <row r="3579" spans="8:15" x14ac:dyDescent="0.25">
      <c r="H3579" s="75">
        <v>719</v>
      </c>
      <c r="I3579" s="76">
        <f>+O3549+O3551+O3567</f>
        <v>0</v>
      </c>
      <c r="J3579" s="77">
        <f>+K3531</f>
        <v>37850000</v>
      </c>
      <c r="K3579" s="79">
        <f>+I3579+J3579</f>
        <v>37850000</v>
      </c>
    </row>
    <row r="3580" spans="8:15" x14ac:dyDescent="0.25">
      <c r="H3580" s="80">
        <v>721</v>
      </c>
      <c r="I3580" s="81">
        <f>+O3550+O3552</f>
        <v>5053299</v>
      </c>
      <c r="J3580" s="77">
        <f>+K3532</f>
        <v>263586540</v>
      </c>
      <c r="K3580" s="79">
        <f>+I3580+J3580</f>
        <v>268639839</v>
      </c>
    </row>
    <row r="3581" spans="8:15" ht="15.75" x14ac:dyDescent="0.25">
      <c r="H3581" s="80">
        <v>722</v>
      </c>
      <c r="I3581" s="81"/>
      <c r="J3581" s="77">
        <f>+K3533</f>
        <v>6180000</v>
      </c>
      <c r="K3581" s="79">
        <f>+I3581+J3581</f>
        <v>6180000</v>
      </c>
      <c r="M3581" s="109" t="s">
        <v>93</v>
      </c>
    </row>
    <row r="3582" spans="8:15" ht="15.75" x14ac:dyDescent="0.25">
      <c r="H3582" s="80">
        <v>723</v>
      </c>
      <c r="I3582" s="81"/>
      <c r="J3582" s="77">
        <f>+K3534</f>
        <v>20475353</v>
      </c>
      <c r="K3582" s="79">
        <f>+I3582+J3582</f>
        <v>20475353</v>
      </c>
      <c r="M3582" s="109"/>
      <c r="N3582" s="84"/>
    </row>
    <row r="3583" spans="8:15" ht="16.5" thickBot="1" x14ac:dyDescent="0.3">
      <c r="H3583" s="85" t="s">
        <v>854</v>
      </c>
      <c r="I3583" s="86"/>
      <c r="J3583" s="77" t="e">
        <f>+K3535</f>
        <v>#REF!</v>
      </c>
      <c r="K3583" s="89" t="e">
        <f>+I3583+J3583</f>
        <v>#REF!</v>
      </c>
      <c r="M3583" s="45"/>
    </row>
    <row r="3584" spans="8:15" ht="16.5" thickBot="1" x14ac:dyDescent="0.3">
      <c r="H3584" s="90"/>
      <c r="I3584" s="94">
        <f>SUM(I3579:I3583)</f>
        <v>5053299</v>
      </c>
      <c r="J3584" s="94" t="e">
        <f>SUM(J3579:J3583)</f>
        <v>#REF!</v>
      </c>
      <c r="K3584" s="95" t="e">
        <f>SUM(K3579:K3583)</f>
        <v>#REF!</v>
      </c>
    </row>
    <row r="3585" spans="8:15" ht="16.5" x14ac:dyDescent="0.25">
      <c r="H3585" s="39" t="s">
        <v>46</v>
      </c>
      <c r="I3585" s="40"/>
    </row>
    <row r="3586" spans="8:15" x14ac:dyDescent="0.25">
      <c r="H3586" s="41" t="s">
        <v>47</v>
      </c>
    </row>
    <row r="3587" spans="8:15" x14ac:dyDescent="0.25">
      <c r="H3587" s="41" t="s">
        <v>48</v>
      </c>
    </row>
    <row r="3588" spans="8:15" x14ac:dyDescent="0.25">
      <c r="H3588" s="41" t="s">
        <v>49</v>
      </c>
    </row>
    <row r="3589" spans="8:15" ht="10.5" customHeight="1" x14ac:dyDescent="0.25">
      <c r="H3589" s="40"/>
      <c r="I3589" s="40"/>
    </row>
    <row r="3590" spans="8:15" ht="15.75" x14ac:dyDescent="0.25">
      <c r="H3590" s="188" t="s">
        <v>1033</v>
      </c>
      <c r="N3590" s="45"/>
    </row>
    <row r="3591" spans="8:15" ht="15.75" x14ac:dyDescent="0.25">
      <c r="H3591" s="47" t="s">
        <v>1034</v>
      </c>
      <c r="N3591" s="47"/>
    </row>
    <row r="3592" spans="8:15" ht="16.5" x14ac:dyDescent="0.25">
      <c r="H3592" s="326" t="s">
        <v>1035</v>
      </c>
      <c r="I3592" s="326"/>
      <c r="J3592" s="326"/>
      <c r="K3592" s="326"/>
      <c r="L3592" s="326"/>
      <c r="M3592" s="326"/>
      <c r="N3592" s="326"/>
      <c r="O3592" s="326"/>
    </row>
    <row r="3593" spans="8:15" ht="15.75" thickBot="1" x14ac:dyDescent="0.3"/>
    <row r="3594" spans="8:15" x14ac:dyDescent="0.25">
      <c r="H3594" s="327" t="s">
        <v>56</v>
      </c>
      <c r="I3594" s="322" t="s">
        <v>57</v>
      </c>
      <c r="J3594" s="322" t="s">
        <v>58</v>
      </c>
      <c r="K3594" s="322" t="s">
        <v>7</v>
      </c>
      <c r="L3594" s="322" t="s">
        <v>59</v>
      </c>
      <c r="M3594" s="322" t="s">
        <v>60</v>
      </c>
      <c r="N3594" s="322" t="s">
        <v>61</v>
      </c>
      <c r="O3594" s="324"/>
    </row>
    <row r="3595" spans="8:15" ht="15.75" thickBot="1" x14ac:dyDescent="0.3">
      <c r="H3595" s="328"/>
      <c r="I3595" s="323"/>
      <c r="J3595" s="323"/>
      <c r="K3595" s="323"/>
      <c r="L3595" s="323"/>
      <c r="M3595" s="323"/>
      <c r="N3595" s="51" t="s">
        <v>62</v>
      </c>
      <c r="O3595" s="52" t="s">
        <v>63</v>
      </c>
    </row>
    <row r="3596" spans="8:15" x14ac:dyDescent="0.25">
      <c r="H3596" s="310" t="s">
        <v>1036</v>
      </c>
      <c r="I3596" s="312">
        <v>43464</v>
      </c>
      <c r="J3596" s="314" t="s">
        <v>193</v>
      </c>
      <c r="K3596" s="316" t="s">
        <v>1037</v>
      </c>
      <c r="L3596" s="318" t="s">
        <v>66</v>
      </c>
      <c r="M3596" s="320">
        <v>681500</v>
      </c>
      <c r="N3596" s="53">
        <v>719</v>
      </c>
      <c r="O3596" s="54">
        <v>517000</v>
      </c>
    </row>
    <row r="3597" spans="8:15" ht="15.75" thickBot="1" x14ac:dyDescent="0.3">
      <c r="H3597" s="311"/>
      <c r="I3597" s="313"/>
      <c r="J3597" s="325"/>
      <c r="K3597" s="317"/>
      <c r="L3597" s="319"/>
      <c r="M3597" s="321"/>
      <c r="N3597" s="55">
        <v>721</v>
      </c>
      <c r="O3597" s="206">
        <f>+M3596-O3596</f>
        <v>164500</v>
      </c>
    </row>
    <row r="3598" spans="8:15" ht="15" customHeight="1" x14ac:dyDescent="0.25">
      <c r="H3598" s="310"/>
      <c r="I3598" s="312"/>
      <c r="J3598" s="314"/>
      <c r="K3598" s="316"/>
      <c r="L3598" s="318"/>
      <c r="M3598" s="320"/>
      <c r="N3598" s="53">
        <v>719</v>
      </c>
      <c r="O3598" s="54"/>
    </row>
    <row r="3599" spans="8:15" ht="15.75" customHeight="1" thickBot="1" x14ac:dyDescent="0.3">
      <c r="H3599" s="311"/>
      <c r="I3599" s="313"/>
      <c r="J3599" s="315"/>
      <c r="K3599" s="317"/>
      <c r="L3599" s="319"/>
      <c r="M3599" s="321"/>
      <c r="N3599" s="55">
        <v>722</v>
      </c>
      <c r="O3599" s="113">
        <f>+M3598-O3598</f>
        <v>0</v>
      </c>
    </row>
    <row r="3600" spans="8:15" x14ac:dyDescent="0.25">
      <c r="H3600" s="310"/>
      <c r="I3600" s="312"/>
      <c r="J3600" s="314"/>
      <c r="K3600" s="316"/>
      <c r="L3600" s="318"/>
      <c r="M3600" s="320"/>
      <c r="N3600" s="53">
        <v>719</v>
      </c>
      <c r="O3600" s="54"/>
    </row>
    <row r="3601" spans="8:15" ht="15.75" thickBot="1" x14ac:dyDescent="0.3">
      <c r="H3601" s="311"/>
      <c r="I3601" s="313"/>
      <c r="J3601" s="315"/>
      <c r="K3601" s="317"/>
      <c r="L3601" s="319"/>
      <c r="M3601" s="321"/>
      <c r="N3601" s="55">
        <v>722</v>
      </c>
      <c r="O3601" s="56">
        <f>+M3600-O3600</f>
        <v>0</v>
      </c>
    </row>
    <row r="3602" spans="8:15" ht="16.5" thickBot="1" x14ac:dyDescent="0.3">
      <c r="H3602" s="297" t="s">
        <v>80</v>
      </c>
      <c r="I3602" s="298"/>
      <c r="J3602" s="298"/>
      <c r="K3602" s="298"/>
      <c r="L3602" s="299"/>
      <c r="M3602" s="62">
        <f>SUM(M3596:M3601)</f>
        <v>681500</v>
      </c>
    </row>
    <row r="3603" spans="8:15" ht="16.5" thickBot="1" x14ac:dyDescent="0.3">
      <c r="H3603" s="300" t="s">
        <v>81</v>
      </c>
      <c r="I3603" s="301"/>
      <c r="J3603" s="301"/>
      <c r="K3603" s="301"/>
      <c r="L3603" s="302"/>
      <c r="M3603" s="63">
        <v>514609750</v>
      </c>
      <c r="N3603" s="64" t="s">
        <v>82</v>
      </c>
      <c r="O3603" s="65">
        <v>904</v>
      </c>
    </row>
    <row r="3604" spans="8:15" ht="16.5" thickBot="1" x14ac:dyDescent="0.3">
      <c r="H3604" s="303" t="s">
        <v>83</v>
      </c>
      <c r="I3604" s="304"/>
      <c r="J3604" s="304"/>
      <c r="K3604" s="304"/>
      <c r="L3604" s="305"/>
      <c r="M3604" s="66">
        <f>SUM(M3602:M3603)</f>
        <v>515291250</v>
      </c>
    </row>
    <row r="3605" spans="8:15" x14ac:dyDescent="0.25">
      <c r="H3605" s="67"/>
      <c r="I3605" s="67"/>
      <c r="J3605" s="67"/>
      <c r="K3605" s="67"/>
      <c r="L3605" s="67"/>
    </row>
    <row r="3606" spans="8:15" x14ac:dyDescent="0.25">
      <c r="H3606" s="41" t="s">
        <v>1038</v>
      </c>
    </row>
    <row r="3607" spans="8:15" ht="9.75" customHeight="1" x14ac:dyDescent="0.25">
      <c r="M3607" s="68"/>
    </row>
    <row r="3608" spans="8:15" x14ac:dyDescent="0.25">
      <c r="H3608" s="40" t="s">
        <v>86</v>
      </c>
      <c r="K3608" s="69"/>
      <c r="M3608" s="68"/>
    </row>
    <row r="3609" spans="8:15" ht="11.25" customHeight="1" thickBot="1" x14ac:dyDescent="0.3"/>
    <row r="3610" spans="8:15" ht="15.75" thickBot="1" x14ac:dyDescent="0.3">
      <c r="H3610" s="306" t="s">
        <v>87</v>
      </c>
      <c r="I3610" s="307"/>
      <c r="J3610" s="307"/>
      <c r="K3610" s="308"/>
      <c r="M3610" s="40" t="s">
        <v>89</v>
      </c>
    </row>
    <row r="3611" spans="8:15" ht="30.75" thickBot="1" x14ac:dyDescent="0.3">
      <c r="H3611" s="70" t="s">
        <v>62</v>
      </c>
      <c r="I3611" s="71" t="s">
        <v>90</v>
      </c>
      <c r="J3611" s="204" t="s">
        <v>91</v>
      </c>
      <c r="K3611" s="73" t="s">
        <v>92</v>
      </c>
    </row>
    <row r="3612" spans="8:15" x14ac:dyDescent="0.25">
      <c r="H3612" s="75">
        <v>719</v>
      </c>
      <c r="I3612" s="76">
        <f>+O3596+O3598+O3600</f>
        <v>517000</v>
      </c>
      <c r="J3612" s="77">
        <v>27970000</v>
      </c>
      <c r="K3612" s="79">
        <f>+I3612+J3612</f>
        <v>28487000</v>
      </c>
    </row>
    <row r="3613" spans="8:15" x14ac:dyDescent="0.25">
      <c r="H3613" s="80">
        <v>721</v>
      </c>
      <c r="I3613" s="81">
        <f>+O3597</f>
        <v>164500</v>
      </c>
      <c r="J3613" s="77">
        <v>90116743</v>
      </c>
      <c r="K3613" s="79">
        <f>+I3613+J3613</f>
        <v>90281243</v>
      </c>
    </row>
    <row r="3614" spans="8:15" ht="15.75" x14ac:dyDescent="0.25">
      <c r="H3614" s="80">
        <v>722</v>
      </c>
      <c r="I3614" s="81">
        <f>+O3599</f>
        <v>0</v>
      </c>
      <c r="J3614" s="77">
        <v>30732180</v>
      </c>
      <c r="K3614" s="79">
        <f>+I3614+J3614</f>
        <v>30732180</v>
      </c>
      <c r="M3614" s="309" t="s">
        <v>1039</v>
      </c>
      <c r="N3614" s="309"/>
    </row>
    <row r="3615" spans="8:15" ht="16.5" thickBot="1" x14ac:dyDescent="0.3">
      <c r="H3615" s="80">
        <v>723</v>
      </c>
      <c r="I3615" s="81"/>
      <c r="J3615" s="77">
        <v>365790827</v>
      </c>
      <c r="K3615" s="79">
        <f>+I3615+J3615</f>
        <v>365790827</v>
      </c>
      <c r="M3615" s="109"/>
      <c r="N3615" s="84"/>
    </row>
    <row r="3616" spans="8:15" ht="16.5" hidden="1" thickBot="1" x14ac:dyDescent="0.3">
      <c r="H3616" s="85" t="s">
        <v>854</v>
      </c>
      <c r="I3616" s="86"/>
      <c r="J3616" s="77"/>
      <c r="K3616" s="89">
        <f>+I3616+J3616</f>
        <v>0</v>
      </c>
      <c r="M3616" s="45"/>
    </row>
    <row r="3617" spans="8:17" ht="16.5" thickBot="1" x14ac:dyDescent="0.3">
      <c r="H3617" s="90"/>
      <c r="I3617" s="94">
        <f>SUM(I3612:I3616)</f>
        <v>681500</v>
      </c>
      <c r="J3617" s="94">
        <f>SUM(J3612:J3616)</f>
        <v>514609750</v>
      </c>
      <c r="K3617" s="95">
        <f>SUM(K3612:K3616)</f>
        <v>515291250</v>
      </c>
    </row>
    <row r="3618" spans="8:17" x14ac:dyDescent="0.25">
      <c r="Q3618" s="68">
        <f>+J3612+J3613+J3614+J3615</f>
        <v>514609750</v>
      </c>
    </row>
  </sheetData>
  <mergeCells count="5595">
    <mergeCell ref="N10:O10"/>
    <mergeCell ref="A12:A13"/>
    <mergeCell ref="B12:B13"/>
    <mergeCell ref="C12:C13"/>
    <mergeCell ref="D12:D13"/>
    <mergeCell ref="E12:E13"/>
    <mergeCell ref="A8:G8"/>
    <mergeCell ref="H8:O8"/>
    <mergeCell ref="A10:A11"/>
    <mergeCell ref="B10:B11"/>
    <mergeCell ref="C10:C11"/>
    <mergeCell ref="D10:D11"/>
    <mergeCell ref="E10:E11"/>
    <mergeCell ref="F10:F11"/>
    <mergeCell ref="H10:H11"/>
    <mergeCell ref="I10:I11"/>
    <mergeCell ref="M12:M13"/>
    <mergeCell ref="A14:A15"/>
    <mergeCell ref="B14:B15"/>
    <mergeCell ref="C14:C15"/>
    <mergeCell ref="D14:D15"/>
    <mergeCell ref="E14:E15"/>
    <mergeCell ref="F14:F15"/>
    <mergeCell ref="H14:H15"/>
    <mergeCell ref="I14:I15"/>
    <mergeCell ref="J14:J15"/>
    <mergeCell ref="F12:F13"/>
    <mergeCell ref="H12:H13"/>
    <mergeCell ref="I12:I13"/>
    <mergeCell ref="J12:J13"/>
    <mergeCell ref="K12:K13"/>
    <mergeCell ref="L12:L13"/>
    <mergeCell ref="J10:J11"/>
    <mergeCell ref="K10:K11"/>
    <mergeCell ref="L10:L11"/>
    <mergeCell ref="M10:M11"/>
    <mergeCell ref="H18:H19"/>
    <mergeCell ref="I18:I19"/>
    <mergeCell ref="J18:J19"/>
    <mergeCell ref="K18:K19"/>
    <mergeCell ref="L18:L19"/>
    <mergeCell ref="M18:M19"/>
    <mergeCell ref="A18:A19"/>
    <mergeCell ref="B18:B19"/>
    <mergeCell ref="C18:C19"/>
    <mergeCell ref="D18:D19"/>
    <mergeCell ref="E18:E19"/>
    <mergeCell ref="F18:F19"/>
    <mergeCell ref="K14:K15"/>
    <mergeCell ref="L14:L15"/>
    <mergeCell ref="M14:M15"/>
    <mergeCell ref="H16:H17"/>
    <mergeCell ref="I16:I17"/>
    <mergeCell ref="J16:J17"/>
    <mergeCell ref="K16:K17"/>
    <mergeCell ref="L16:L17"/>
    <mergeCell ref="M16:M17"/>
    <mergeCell ref="A22:E22"/>
    <mergeCell ref="H22:L22"/>
    <mergeCell ref="A23:E23"/>
    <mergeCell ref="H23:L23"/>
    <mergeCell ref="A24:E24"/>
    <mergeCell ref="H24:L24"/>
    <mergeCell ref="H20:H21"/>
    <mergeCell ref="I20:I21"/>
    <mergeCell ref="J20:J21"/>
    <mergeCell ref="K20:K21"/>
    <mergeCell ref="L20:L21"/>
    <mergeCell ref="M20:M21"/>
    <mergeCell ref="A20:A21"/>
    <mergeCell ref="B20:B21"/>
    <mergeCell ref="C20:C21"/>
    <mergeCell ref="D20:D21"/>
    <mergeCell ref="E20:E21"/>
    <mergeCell ref="F20:F21"/>
    <mergeCell ref="N47:O47"/>
    <mergeCell ref="A49:A50"/>
    <mergeCell ref="B49:B50"/>
    <mergeCell ref="C49:C50"/>
    <mergeCell ref="D49:D50"/>
    <mergeCell ref="E49:E50"/>
    <mergeCell ref="F49:F50"/>
    <mergeCell ref="H49:H50"/>
    <mergeCell ref="I49:I50"/>
    <mergeCell ref="F47:F48"/>
    <mergeCell ref="H47:H48"/>
    <mergeCell ref="I47:I48"/>
    <mergeCell ref="J47:J48"/>
    <mergeCell ref="K47:K48"/>
    <mergeCell ref="L47:L48"/>
    <mergeCell ref="A30:D30"/>
    <mergeCell ref="H30:K30"/>
    <mergeCell ref="M35:O35"/>
    <mergeCell ref="A45:G45"/>
    <mergeCell ref="H45:O45"/>
    <mergeCell ref="A47:A48"/>
    <mergeCell ref="B47:B48"/>
    <mergeCell ref="C47:C48"/>
    <mergeCell ref="D47:D48"/>
    <mergeCell ref="E47:E48"/>
    <mergeCell ref="H51:H52"/>
    <mergeCell ref="I51:I52"/>
    <mergeCell ref="J51:J52"/>
    <mergeCell ref="K51:K52"/>
    <mergeCell ref="L51:L52"/>
    <mergeCell ref="M51:M52"/>
    <mergeCell ref="J49:J50"/>
    <mergeCell ref="K49:K50"/>
    <mergeCell ref="L49:L50"/>
    <mergeCell ref="M49:M50"/>
    <mergeCell ref="A51:A52"/>
    <mergeCell ref="B51:B52"/>
    <mergeCell ref="C51:C52"/>
    <mergeCell ref="D51:D52"/>
    <mergeCell ref="E51:E52"/>
    <mergeCell ref="F51:F52"/>
    <mergeCell ref="M47:M48"/>
    <mergeCell ref="H55:H56"/>
    <mergeCell ref="I55:I56"/>
    <mergeCell ref="J55:J56"/>
    <mergeCell ref="K55:K56"/>
    <mergeCell ref="L55:L56"/>
    <mergeCell ref="M55:M56"/>
    <mergeCell ref="A55:A56"/>
    <mergeCell ref="B55:B56"/>
    <mergeCell ref="C55:C56"/>
    <mergeCell ref="D55:D56"/>
    <mergeCell ref="E55:E56"/>
    <mergeCell ref="F55:F56"/>
    <mergeCell ref="H53:H54"/>
    <mergeCell ref="I53:I54"/>
    <mergeCell ref="J53:J54"/>
    <mergeCell ref="K53:K54"/>
    <mergeCell ref="L53:L54"/>
    <mergeCell ref="M53:M54"/>
    <mergeCell ref="A67:D67"/>
    <mergeCell ref="H67:K67"/>
    <mergeCell ref="M72:O72"/>
    <mergeCell ref="A82:G82"/>
    <mergeCell ref="H82:O82"/>
    <mergeCell ref="A84:A85"/>
    <mergeCell ref="B84:B85"/>
    <mergeCell ref="C84:C85"/>
    <mergeCell ref="D84:D85"/>
    <mergeCell ref="E84:E85"/>
    <mergeCell ref="A59:E59"/>
    <mergeCell ref="H59:L59"/>
    <mergeCell ref="A60:E60"/>
    <mergeCell ref="H60:L60"/>
    <mergeCell ref="A61:E61"/>
    <mergeCell ref="H61:L61"/>
    <mergeCell ref="H57:H58"/>
    <mergeCell ref="I57:I58"/>
    <mergeCell ref="J57:J58"/>
    <mergeCell ref="K57:K58"/>
    <mergeCell ref="L57:L58"/>
    <mergeCell ref="M57:M58"/>
    <mergeCell ref="A57:A58"/>
    <mergeCell ref="B57:B58"/>
    <mergeCell ref="C57:C58"/>
    <mergeCell ref="D57:D58"/>
    <mergeCell ref="E57:E58"/>
    <mergeCell ref="F57:F58"/>
    <mergeCell ref="J86:J87"/>
    <mergeCell ref="K86:K87"/>
    <mergeCell ref="L86:L87"/>
    <mergeCell ref="M86:M87"/>
    <mergeCell ref="A88:A89"/>
    <mergeCell ref="B88:B89"/>
    <mergeCell ref="C88:C89"/>
    <mergeCell ref="D88:D89"/>
    <mergeCell ref="E88:E89"/>
    <mergeCell ref="F88:F89"/>
    <mergeCell ref="M84:M85"/>
    <mergeCell ref="N84:O84"/>
    <mergeCell ref="A86:A87"/>
    <mergeCell ref="B86:B87"/>
    <mergeCell ref="C86:C87"/>
    <mergeCell ref="D86:D87"/>
    <mergeCell ref="E86:E87"/>
    <mergeCell ref="F86:F87"/>
    <mergeCell ref="H86:H87"/>
    <mergeCell ref="I86:I87"/>
    <mergeCell ref="F84:F85"/>
    <mergeCell ref="H84:H85"/>
    <mergeCell ref="I84:I85"/>
    <mergeCell ref="J84:J85"/>
    <mergeCell ref="K84:K85"/>
    <mergeCell ref="L84:L85"/>
    <mergeCell ref="H90:H91"/>
    <mergeCell ref="I90:I91"/>
    <mergeCell ref="J90:J91"/>
    <mergeCell ref="K90:K91"/>
    <mergeCell ref="L90:L91"/>
    <mergeCell ref="M90:M91"/>
    <mergeCell ref="A90:A91"/>
    <mergeCell ref="B90:B91"/>
    <mergeCell ref="C90:C91"/>
    <mergeCell ref="D90:D91"/>
    <mergeCell ref="E90:E91"/>
    <mergeCell ref="F90:F91"/>
    <mergeCell ref="H88:H89"/>
    <mergeCell ref="I88:I89"/>
    <mergeCell ref="J88:J89"/>
    <mergeCell ref="K88:K89"/>
    <mergeCell ref="L88:L89"/>
    <mergeCell ref="M88:M89"/>
    <mergeCell ref="H94:H95"/>
    <mergeCell ref="I94:I95"/>
    <mergeCell ref="J94:J95"/>
    <mergeCell ref="K94:K95"/>
    <mergeCell ref="L94:L95"/>
    <mergeCell ref="M94:M95"/>
    <mergeCell ref="A94:A95"/>
    <mergeCell ref="B94:B95"/>
    <mergeCell ref="C94:C95"/>
    <mergeCell ref="D94:D95"/>
    <mergeCell ref="E94:E95"/>
    <mergeCell ref="F94:F95"/>
    <mergeCell ref="H92:H93"/>
    <mergeCell ref="I92:I93"/>
    <mergeCell ref="J92:J93"/>
    <mergeCell ref="K92:K93"/>
    <mergeCell ref="L92:L93"/>
    <mergeCell ref="M92:M93"/>
    <mergeCell ref="B121:B122"/>
    <mergeCell ref="C121:C122"/>
    <mergeCell ref="D121:D122"/>
    <mergeCell ref="E121:E122"/>
    <mergeCell ref="F121:F122"/>
    <mergeCell ref="A104:D104"/>
    <mergeCell ref="H104:K104"/>
    <mergeCell ref="M104:O104"/>
    <mergeCell ref="M109:O109"/>
    <mergeCell ref="A119:G119"/>
    <mergeCell ref="H119:O119"/>
    <mergeCell ref="A96:E96"/>
    <mergeCell ref="H96:L96"/>
    <mergeCell ref="A97:E97"/>
    <mergeCell ref="H97:L97"/>
    <mergeCell ref="A98:E98"/>
    <mergeCell ref="H98:L98"/>
    <mergeCell ref="A127:A128"/>
    <mergeCell ref="B127:B128"/>
    <mergeCell ref="C127:C128"/>
    <mergeCell ref="D127:D128"/>
    <mergeCell ref="E127:E128"/>
    <mergeCell ref="K123:K124"/>
    <mergeCell ref="L123:L124"/>
    <mergeCell ref="M123:M124"/>
    <mergeCell ref="A125:A126"/>
    <mergeCell ref="B125:B126"/>
    <mergeCell ref="C125:C126"/>
    <mergeCell ref="D125:D126"/>
    <mergeCell ref="E125:E126"/>
    <mergeCell ref="F125:F126"/>
    <mergeCell ref="H125:H126"/>
    <mergeCell ref="N121:O121"/>
    <mergeCell ref="A123:A124"/>
    <mergeCell ref="B123:B124"/>
    <mergeCell ref="C123:C124"/>
    <mergeCell ref="D123:D124"/>
    <mergeCell ref="E123:E124"/>
    <mergeCell ref="F123:F124"/>
    <mergeCell ref="H123:H124"/>
    <mergeCell ref="I123:I124"/>
    <mergeCell ref="J123:J124"/>
    <mergeCell ref="H121:H122"/>
    <mergeCell ref="I121:I122"/>
    <mergeCell ref="J121:J122"/>
    <mergeCell ref="K121:K122"/>
    <mergeCell ref="L121:L122"/>
    <mergeCell ref="M121:M122"/>
    <mergeCell ref="A121:A122"/>
    <mergeCell ref="M127:M128"/>
    <mergeCell ref="H129:H130"/>
    <mergeCell ref="I129:I130"/>
    <mergeCell ref="J129:J130"/>
    <mergeCell ref="K129:K130"/>
    <mergeCell ref="L129:L130"/>
    <mergeCell ref="M129:M130"/>
    <mergeCell ref="F127:F128"/>
    <mergeCell ref="H127:H128"/>
    <mergeCell ref="I127:I128"/>
    <mergeCell ref="J127:J128"/>
    <mergeCell ref="K127:K128"/>
    <mergeCell ref="L127:L128"/>
    <mergeCell ref="I125:I126"/>
    <mergeCell ref="J125:J126"/>
    <mergeCell ref="K125:K126"/>
    <mergeCell ref="L125:L126"/>
    <mergeCell ref="M125:M126"/>
    <mergeCell ref="A141:D141"/>
    <mergeCell ref="H141:K141"/>
    <mergeCell ref="M141:O141"/>
    <mergeCell ref="M146:O146"/>
    <mergeCell ref="A156:G156"/>
    <mergeCell ref="H156:O156"/>
    <mergeCell ref="A133:E133"/>
    <mergeCell ref="H133:L133"/>
    <mergeCell ref="A134:E134"/>
    <mergeCell ref="H134:L134"/>
    <mergeCell ref="A135:E135"/>
    <mergeCell ref="H135:L135"/>
    <mergeCell ref="H131:H132"/>
    <mergeCell ref="I131:I132"/>
    <mergeCell ref="J131:J132"/>
    <mergeCell ref="K131:K132"/>
    <mergeCell ref="L131:L132"/>
    <mergeCell ref="M131:M132"/>
    <mergeCell ref="A131:A132"/>
    <mergeCell ref="B131:B132"/>
    <mergeCell ref="C131:C132"/>
    <mergeCell ref="D131:D132"/>
    <mergeCell ref="E131:E132"/>
    <mergeCell ref="F131:F132"/>
    <mergeCell ref="K160:K161"/>
    <mergeCell ref="L160:L161"/>
    <mergeCell ref="M160:M161"/>
    <mergeCell ref="H162:H163"/>
    <mergeCell ref="I162:I163"/>
    <mergeCell ref="J162:J163"/>
    <mergeCell ref="K162:K163"/>
    <mergeCell ref="L162:L163"/>
    <mergeCell ref="M162:M163"/>
    <mergeCell ref="N158:O158"/>
    <mergeCell ref="A160:A161"/>
    <mergeCell ref="B160:B161"/>
    <mergeCell ref="C160:C161"/>
    <mergeCell ref="D160:D161"/>
    <mergeCell ref="E160:E161"/>
    <mergeCell ref="F160:F161"/>
    <mergeCell ref="H160:H161"/>
    <mergeCell ref="I160:I161"/>
    <mergeCell ref="J160:J161"/>
    <mergeCell ref="H158:H159"/>
    <mergeCell ref="I158:I159"/>
    <mergeCell ref="J158:J159"/>
    <mergeCell ref="K158:K159"/>
    <mergeCell ref="L158:L159"/>
    <mergeCell ref="M158:M159"/>
    <mergeCell ref="A158:A159"/>
    <mergeCell ref="B158:B159"/>
    <mergeCell ref="C158:C159"/>
    <mergeCell ref="D158:D159"/>
    <mergeCell ref="E158:E159"/>
    <mergeCell ref="F158:F159"/>
    <mergeCell ref="H166:H167"/>
    <mergeCell ref="I166:I167"/>
    <mergeCell ref="J166:J167"/>
    <mergeCell ref="K166:K167"/>
    <mergeCell ref="L166:L167"/>
    <mergeCell ref="M166:M167"/>
    <mergeCell ref="H164:H165"/>
    <mergeCell ref="I164:I165"/>
    <mergeCell ref="J164:J165"/>
    <mergeCell ref="K164:K165"/>
    <mergeCell ref="L164:L165"/>
    <mergeCell ref="M164:M165"/>
    <mergeCell ref="A164:A165"/>
    <mergeCell ref="B164:B165"/>
    <mergeCell ref="C164:C165"/>
    <mergeCell ref="D164:D165"/>
    <mergeCell ref="E164:E165"/>
    <mergeCell ref="F164:F165"/>
    <mergeCell ref="A178:D178"/>
    <mergeCell ref="H178:K178"/>
    <mergeCell ref="M178:O178"/>
    <mergeCell ref="M182:O182"/>
    <mergeCell ref="A193:G193"/>
    <mergeCell ref="H193:O193"/>
    <mergeCell ref="A170:E170"/>
    <mergeCell ref="H170:L170"/>
    <mergeCell ref="A171:E171"/>
    <mergeCell ref="H171:L171"/>
    <mergeCell ref="A172:E172"/>
    <mergeCell ref="H172:L172"/>
    <mergeCell ref="H168:H169"/>
    <mergeCell ref="I168:I169"/>
    <mergeCell ref="J168:J169"/>
    <mergeCell ref="K168:K169"/>
    <mergeCell ref="L168:L169"/>
    <mergeCell ref="M168:M169"/>
    <mergeCell ref="A168:A169"/>
    <mergeCell ref="B168:B169"/>
    <mergeCell ref="C168:C169"/>
    <mergeCell ref="D168:D169"/>
    <mergeCell ref="E168:E169"/>
    <mergeCell ref="F168:F169"/>
    <mergeCell ref="N195:O195"/>
    <mergeCell ref="A197:A198"/>
    <mergeCell ref="B197:B198"/>
    <mergeCell ref="C197:C198"/>
    <mergeCell ref="D197:D198"/>
    <mergeCell ref="E197:E198"/>
    <mergeCell ref="F197:F198"/>
    <mergeCell ref="H197:H198"/>
    <mergeCell ref="I197:I198"/>
    <mergeCell ref="J197:J198"/>
    <mergeCell ref="H195:H196"/>
    <mergeCell ref="I195:I196"/>
    <mergeCell ref="J195:J196"/>
    <mergeCell ref="K195:K196"/>
    <mergeCell ref="L195:L196"/>
    <mergeCell ref="M195:M196"/>
    <mergeCell ref="A195:A196"/>
    <mergeCell ref="B195:B196"/>
    <mergeCell ref="C195:C196"/>
    <mergeCell ref="D195:D196"/>
    <mergeCell ref="E195:E196"/>
    <mergeCell ref="F195:F196"/>
    <mergeCell ref="I199:I200"/>
    <mergeCell ref="J199:J200"/>
    <mergeCell ref="K199:K200"/>
    <mergeCell ref="L199:L200"/>
    <mergeCell ref="M199:M200"/>
    <mergeCell ref="A201:A202"/>
    <mergeCell ref="B201:B202"/>
    <mergeCell ref="C201:C202"/>
    <mergeCell ref="D201:D202"/>
    <mergeCell ref="E201:E202"/>
    <mergeCell ref="K197:K198"/>
    <mergeCell ref="L197:L198"/>
    <mergeCell ref="M197:M198"/>
    <mergeCell ref="A199:A200"/>
    <mergeCell ref="B199:B200"/>
    <mergeCell ref="C199:C200"/>
    <mergeCell ref="D199:D200"/>
    <mergeCell ref="E199:E200"/>
    <mergeCell ref="F199:F200"/>
    <mergeCell ref="H199:H200"/>
    <mergeCell ref="J203:J204"/>
    <mergeCell ref="K203:K204"/>
    <mergeCell ref="L203:L204"/>
    <mergeCell ref="M203:M204"/>
    <mergeCell ref="A205:A206"/>
    <mergeCell ref="B205:B206"/>
    <mergeCell ref="C205:C206"/>
    <mergeCell ref="D205:D206"/>
    <mergeCell ref="E205:E206"/>
    <mergeCell ref="F205:F206"/>
    <mergeCell ref="M201:M202"/>
    <mergeCell ref="Q202:Q203"/>
    <mergeCell ref="A203:A204"/>
    <mergeCell ref="B203:B204"/>
    <mergeCell ref="C203:C204"/>
    <mergeCell ref="D203:D204"/>
    <mergeCell ref="E203:E204"/>
    <mergeCell ref="F203:F204"/>
    <mergeCell ref="H203:H204"/>
    <mergeCell ref="I203:I204"/>
    <mergeCell ref="F201:F202"/>
    <mergeCell ref="H201:H202"/>
    <mergeCell ref="I201:I202"/>
    <mergeCell ref="J201:J202"/>
    <mergeCell ref="K201:K202"/>
    <mergeCell ref="L201:L202"/>
    <mergeCell ref="A215:D215"/>
    <mergeCell ref="H215:K215"/>
    <mergeCell ref="M215:O215"/>
    <mergeCell ref="M220:O220"/>
    <mergeCell ref="A230:G230"/>
    <mergeCell ref="H230:O230"/>
    <mergeCell ref="A207:E207"/>
    <mergeCell ref="H207:L207"/>
    <mergeCell ref="A208:E208"/>
    <mergeCell ref="H208:L208"/>
    <mergeCell ref="A209:E209"/>
    <mergeCell ref="H209:L209"/>
    <mergeCell ref="H205:H206"/>
    <mergeCell ref="I205:I206"/>
    <mergeCell ref="J205:J206"/>
    <mergeCell ref="K205:K206"/>
    <mergeCell ref="L205:L206"/>
    <mergeCell ref="M205:M206"/>
    <mergeCell ref="N232:O232"/>
    <mergeCell ref="A234:A235"/>
    <mergeCell ref="B234:B235"/>
    <mergeCell ref="C234:C235"/>
    <mergeCell ref="D234:D235"/>
    <mergeCell ref="E234:E235"/>
    <mergeCell ref="F234:F235"/>
    <mergeCell ref="H234:H235"/>
    <mergeCell ref="I234:I235"/>
    <mergeCell ref="J234:J235"/>
    <mergeCell ref="H232:H233"/>
    <mergeCell ref="I232:I233"/>
    <mergeCell ref="J232:J233"/>
    <mergeCell ref="K232:K233"/>
    <mergeCell ref="L232:L233"/>
    <mergeCell ref="M232:M233"/>
    <mergeCell ref="A232:A233"/>
    <mergeCell ref="B232:B233"/>
    <mergeCell ref="C232:C233"/>
    <mergeCell ref="D232:D233"/>
    <mergeCell ref="E232:E233"/>
    <mergeCell ref="F232:F233"/>
    <mergeCell ref="I236:I237"/>
    <mergeCell ref="J236:J237"/>
    <mergeCell ref="K236:K237"/>
    <mergeCell ref="L236:L237"/>
    <mergeCell ref="M236:M237"/>
    <mergeCell ref="A238:A239"/>
    <mergeCell ref="B238:B239"/>
    <mergeCell ref="C238:C239"/>
    <mergeCell ref="D238:D239"/>
    <mergeCell ref="E238:E239"/>
    <mergeCell ref="K234:K235"/>
    <mergeCell ref="L234:L235"/>
    <mergeCell ref="M234:M235"/>
    <mergeCell ref="A236:A237"/>
    <mergeCell ref="B236:B237"/>
    <mergeCell ref="C236:C237"/>
    <mergeCell ref="D236:D237"/>
    <mergeCell ref="E236:E237"/>
    <mergeCell ref="F236:F237"/>
    <mergeCell ref="H236:H237"/>
    <mergeCell ref="H242:H243"/>
    <mergeCell ref="I242:I243"/>
    <mergeCell ref="J242:J243"/>
    <mergeCell ref="K242:K243"/>
    <mergeCell ref="L242:L243"/>
    <mergeCell ref="M242:M243"/>
    <mergeCell ref="A242:A243"/>
    <mergeCell ref="B242:B243"/>
    <mergeCell ref="C242:C243"/>
    <mergeCell ref="D242:D243"/>
    <mergeCell ref="E242:E243"/>
    <mergeCell ref="F242:F243"/>
    <mergeCell ref="M238:M239"/>
    <mergeCell ref="H240:H241"/>
    <mergeCell ref="I240:I241"/>
    <mergeCell ref="J240:J241"/>
    <mergeCell ref="K240:K241"/>
    <mergeCell ref="L240:L241"/>
    <mergeCell ref="M240:M241"/>
    <mergeCell ref="F238:F239"/>
    <mergeCell ref="H238:H239"/>
    <mergeCell ref="I238:I239"/>
    <mergeCell ref="J238:J239"/>
    <mergeCell ref="K238:K239"/>
    <mergeCell ref="L238:L239"/>
    <mergeCell ref="A254:D254"/>
    <mergeCell ref="H254:K254"/>
    <mergeCell ref="M254:O254"/>
    <mergeCell ref="M259:O259"/>
    <mergeCell ref="A269:G269"/>
    <mergeCell ref="H269:O269"/>
    <mergeCell ref="A246:E246"/>
    <mergeCell ref="H246:L246"/>
    <mergeCell ref="A247:E247"/>
    <mergeCell ref="H247:L247"/>
    <mergeCell ref="A248:E248"/>
    <mergeCell ref="H248:L248"/>
    <mergeCell ref="H244:H245"/>
    <mergeCell ref="I244:I245"/>
    <mergeCell ref="J244:J245"/>
    <mergeCell ref="K244:K245"/>
    <mergeCell ref="L244:L245"/>
    <mergeCell ref="M244:M245"/>
    <mergeCell ref="A244:A245"/>
    <mergeCell ref="B244:B245"/>
    <mergeCell ref="C244:C245"/>
    <mergeCell ref="D244:D245"/>
    <mergeCell ref="E244:E245"/>
    <mergeCell ref="F244:F245"/>
    <mergeCell ref="N271:O271"/>
    <mergeCell ref="A273:A274"/>
    <mergeCell ref="B273:B274"/>
    <mergeCell ref="C273:C274"/>
    <mergeCell ref="D273:D274"/>
    <mergeCell ref="E273:E274"/>
    <mergeCell ref="F273:F274"/>
    <mergeCell ref="H273:H274"/>
    <mergeCell ref="I273:I274"/>
    <mergeCell ref="J273:J274"/>
    <mergeCell ref="H271:H272"/>
    <mergeCell ref="I271:I272"/>
    <mergeCell ref="J271:J272"/>
    <mergeCell ref="K271:K272"/>
    <mergeCell ref="L271:L272"/>
    <mergeCell ref="M271:M272"/>
    <mergeCell ref="A271:A272"/>
    <mergeCell ref="B271:B272"/>
    <mergeCell ref="C271:C272"/>
    <mergeCell ref="D271:D272"/>
    <mergeCell ref="E271:E272"/>
    <mergeCell ref="F271:F272"/>
    <mergeCell ref="I275:I276"/>
    <mergeCell ref="J275:J276"/>
    <mergeCell ref="K275:K276"/>
    <mergeCell ref="L275:L276"/>
    <mergeCell ref="M275:M276"/>
    <mergeCell ref="A277:A278"/>
    <mergeCell ref="B277:B278"/>
    <mergeCell ref="C277:C278"/>
    <mergeCell ref="D277:D278"/>
    <mergeCell ref="E277:E278"/>
    <mergeCell ref="K273:K274"/>
    <mergeCell ref="L273:L274"/>
    <mergeCell ref="M273:M274"/>
    <mergeCell ref="A275:A276"/>
    <mergeCell ref="B275:B276"/>
    <mergeCell ref="C275:C276"/>
    <mergeCell ref="D275:D276"/>
    <mergeCell ref="E275:E276"/>
    <mergeCell ref="F275:F276"/>
    <mergeCell ref="H275:H276"/>
    <mergeCell ref="K279:K280"/>
    <mergeCell ref="L279:L280"/>
    <mergeCell ref="M279:M280"/>
    <mergeCell ref="H281:H282"/>
    <mergeCell ref="I281:I282"/>
    <mergeCell ref="J281:J282"/>
    <mergeCell ref="K281:K282"/>
    <mergeCell ref="L281:L282"/>
    <mergeCell ref="M281:M282"/>
    <mergeCell ref="M277:M278"/>
    <mergeCell ref="A279:A280"/>
    <mergeCell ref="B279:B280"/>
    <mergeCell ref="C279:C280"/>
    <mergeCell ref="D279:D280"/>
    <mergeCell ref="E279:E280"/>
    <mergeCell ref="F279:F280"/>
    <mergeCell ref="H279:H280"/>
    <mergeCell ref="I279:I280"/>
    <mergeCell ref="J279:J280"/>
    <mergeCell ref="F277:F278"/>
    <mergeCell ref="H277:H278"/>
    <mergeCell ref="I277:I278"/>
    <mergeCell ref="J277:J278"/>
    <mergeCell ref="K277:K278"/>
    <mergeCell ref="L277:L278"/>
    <mergeCell ref="A293:D293"/>
    <mergeCell ref="H293:K293"/>
    <mergeCell ref="M293:O293"/>
    <mergeCell ref="M298:O298"/>
    <mergeCell ref="A308:G308"/>
    <mergeCell ref="H308:O308"/>
    <mergeCell ref="A285:E285"/>
    <mergeCell ref="H285:L285"/>
    <mergeCell ref="A286:E286"/>
    <mergeCell ref="H286:L286"/>
    <mergeCell ref="A287:E287"/>
    <mergeCell ref="H287:L287"/>
    <mergeCell ref="H283:H284"/>
    <mergeCell ref="I283:I284"/>
    <mergeCell ref="J283:J284"/>
    <mergeCell ref="K283:K284"/>
    <mergeCell ref="L283:L284"/>
    <mergeCell ref="M283:M284"/>
    <mergeCell ref="A283:A284"/>
    <mergeCell ref="B283:B284"/>
    <mergeCell ref="C283:C284"/>
    <mergeCell ref="D283:D284"/>
    <mergeCell ref="E283:E284"/>
    <mergeCell ref="F283:F284"/>
    <mergeCell ref="N310:O310"/>
    <mergeCell ref="A312:A313"/>
    <mergeCell ref="B312:B313"/>
    <mergeCell ref="C312:C313"/>
    <mergeCell ref="D312:D313"/>
    <mergeCell ref="E312:E313"/>
    <mergeCell ref="F312:F313"/>
    <mergeCell ref="H312:H313"/>
    <mergeCell ref="I312:I313"/>
    <mergeCell ref="J312:J313"/>
    <mergeCell ref="H310:H311"/>
    <mergeCell ref="I310:I311"/>
    <mergeCell ref="J310:J311"/>
    <mergeCell ref="K310:K311"/>
    <mergeCell ref="L310:L311"/>
    <mergeCell ref="M310:M311"/>
    <mergeCell ref="A310:A311"/>
    <mergeCell ref="B310:B311"/>
    <mergeCell ref="C310:C311"/>
    <mergeCell ref="D310:D311"/>
    <mergeCell ref="E310:E311"/>
    <mergeCell ref="F310:F311"/>
    <mergeCell ref="I314:I315"/>
    <mergeCell ref="J314:J315"/>
    <mergeCell ref="K314:K315"/>
    <mergeCell ref="L314:L315"/>
    <mergeCell ref="M314:M315"/>
    <mergeCell ref="A316:A317"/>
    <mergeCell ref="B316:B317"/>
    <mergeCell ref="C316:C317"/>
    <mergeCell ref="D316:D317"/>
    <mergeCell ref="E316:E317"/>
    <mergeCell ref="K312:K313"/>
    <mergeCell ref="L312:L313"/>
    <mergeCell ref="M312:M313"/>
    <mergeCell ref="A314:A315"/>
    <mergeCell ref="B314:B315"/>
    <mergeCell ref="C314:C315"/>
    <mergeCell ref="D314:D315"/>
    <mergeCell ref="E314:E315"/>
    <mergeCell ref="F314:F315"/>
    <mergeCell ref="H314:H315"/>
    <mergeCell ref="K318:K319"/>
    <mergeCell ref="L318:L319"/>
    <mergeCell ref="M318:M319"/>
    <mergeCell ref="H320:H321"/>
    <mergeCell ref="I320:I321"/>
    <mergeCell ref="J320:J321"/>
    <mergeCell ref="K320:K321"/>
    <mergeCell ref="L320:L321"/>
    <mergeCell ref="M320:M321"/>
    <mergeCell ref="M316:M317"/>
    <mergeCell ref="A318:A319"/>
    <mergeCell ref="B318:B319"/>
    <mergeCell ref="C318:C319"/>
    <mergeCell ref="D318:D319"/>
    <mergeCell ref="E318:E319"/>
    <mergeCell ref="F318:F319"/>
    <mergeCell ref="H318:H319"/>
    <mergeCell ref="I318:I319"/>
    <mergeCell ref="J318:J319"/>
    <mergeCell ref="F316:F317"/>
    <mergeCell ref="H316:H317"/>
    <mergeCell ref="I316:I317"/>
    <mergeCell ref="J316:J317"/>
    <mergeCell ref="K316:K317"/>
    <mergeCell ref="L316:L317"/>
    <mergeCell ref="A332:D332"/>
    <mergeCell ref="H332:K332"/>
    <mergeCell ref="M332:O332"/>
    <mergeCell ref="M336:O336"/>
    <mergeCell ref="M337:O337"/>
    <mergeCell ref="A347:G347"/>
    <mergeCell ref="H347:O347"/>
    <mergeCell ref="A324:E324"/>
    <mergeCell ref="H324:L324"/>
    <mergeCell ref="A325:E325"/>
    <mergeCell ref="H325:L325"/>
    <mergeCell ref="A326:E326"/>
    <mergeCell ref="H326:L326"/>
    <mergeCell ref="H322:H323"/>
    <mergeCell ref="I322:I323"/>
    <mergeCell ref="J322:J323"/>
    <mergeCell ref="K322:K323"/>
    <mergeCell ref="L322:L323"/>
    <mergeCell ref="M322:M323"/>
    <mergeCell ref="K351:K352"/>
    <mergeCell ref="L351:L352"/>
    <mergeCell ref="M351:M352"/>
    <mergeCell ref="H353:H354"/>
    <mergeCell ref="I353:I354"/>
    <mergeCell ref="J353:J354"/>
    <mergeCell ref="K353:K354"/>
    <mergeCell ref="L353:L354"/>
    <mergeCell ref="M353:M354"/>
    <mergeCell ref="N349:O349"/>
    <mergeCell ref="A351:A352"/>
    <mergeCell ref="B351:B352"/>
    <mergeCell ref="C351:C352"/>
    <mergeCell ref="D351:D352"/>
    <mergeCell ref="E351:E352"/>
    <mergeCell ref="F351:F352"/>
    <mergeCell ref="H351:H352"/>
    <mergeCell ref="I351:I352"/>
    <mergeCell ref="J351:J352"/>
    <mergeCell ref="H349:H350"/>
    <mergeCell ref="I349:I350"/>
    <mergeCell ref="J349:J350"/>
    <mergeCell ref="K349:K350"/>
    <mergeCell ref="L349:L350"/>
    <mergeCell ref="M349:M350"/>
    <mergeCell ref="A349:A350"/>
    <mergeCell ref="B349:B350"/>
    <mergeCell ref="C349:C350"/>
    <mergeCell ref="D349:D350"/>
    <mergeCell ref="E349:E350"/>
    <mergeCell ref="F349:F350"/>
    <mergeCell ref="H357:H358"/>
    <mergeCell ref="I357:I358"/>
    <mergeCell ref="J357:J358"/>
    <mergeCell ref="K357:K358"/>
    <mergeCell ref="L357:L358"/>
    <mergeCell ref="M357:M358"/>
    <mergeCell ref="H355:H356"/>
    <mergeCell ref="I355:I356"/>
    <mergeCell ref="J355:J356"/>
    <mergeCell ref="K355:K356"/>
    <mergeCell ref="L355:L356"/>
    <mergeCell ref="M355:M356"/>
    <mergeCell ref="A355:A356"/>
    <mergeCell ref="B355:B356"/>
    <mergeCell ref="C355:C356"/>
    <mergeCell ref="D355:D356"/>
    <mergeCell ref="E355:E356"/>
    <mergeCell ref="F355:F356"/>
    <mergeCell ref="A369:D369"/>
    <mergeCell ref="H369:K369"/>
    <mergeCell ref="M369:O369"/>
    <mergeCell ref="M374:O374"/>
    <mergeCell ref="A384:G384"/>
    <mergeCell ref="H384:O384"/>
    <mergeCell ref="A361:E361"/>
    <mergeCell ref="H361:L361"/>
    <mergeCell ref="A362:E362"/>
    <mergeCell ref="H362:L362"/>
    <mergeCell ref="A363:E363"/>
    <mergeCell ref="H363:L363"/>
    <mergeCell ref="H359:H360"/>
    <mergeCell ref="I359:I360"/>
    <mergeCell ref="J359:J360"/>
    <mergeCell ref="K359:K360"/>
    <mergeCell ref="L359:L360"/>
    <mergeCell ref="M359:M360"/>
    <mergeCell ref="A359:A360"/>
    <mergeCell ref="B359:B360"/>
    <mergeCell ref="C359:C360"/>
    <mergeCell ref="D359:D360"/>
    <mergeCell ref="E359:E360"/>
    <mergeCell ref="F359:F360"/>
    <mergeCell ref="K388:K389"/>
    <mergeCell ref="L388:L389"/>
    <mergeCell ref="M388:M389"/>
    <mergeCell ref="H390:H391"/>
    <mergeCell ref="I390:I391"/>
    <mergeCell ref="J390:J391"/>
    <mergeCell ref="K390:K391"/>
    <mergeCell ref="L390:L391"/>
    <mergeCell ref="M390:M391"/>
    <mergeCell ref="N386:O386"/>
    <mergeCell ref="A388:A389"/>
    <mergeCell ref="B388:B389"/>
    <mergeCell ref="C388:C389"/>
    <mergeCell ref="D388:D389"/>
    <mergeCell ref="E388:E389"/>
    <mergeCell ref="F388:F389"/>
    <mergeCell ref="H388:H389"/>
    <mergeCell ref="I388:I389"/>
    <mergeCell ref="J388:J389"/>
    <mergeCell ref="H386:H387"/>
    <mergeCell ref="I386:I387"/>
    <mergeCell ref="J386:J387"/>
    <mergeCell ref="K386:K387"/>
    <mergeCell ref="L386:L387"/>
    <mergeCell ref="M386:M387"/>
    <mergeCell ref="A386:A387"/>
    <mergeCell ref="B386:B387"/>
    <mergeCell ref="C386:C387"/>
    <mergeCell ref="D386:D387"/>
    <mergeCell ref="E386:E387"/>
    <mergeCell ref="F386:F387"/>
    <mergeCell ref="H394:H395"/>
    <mergeCell ref="I394:I395"/>
    <mergeCell ref="J394:J395"/>
    <mergeCell ref="K394:K395"/>
    <mergeCell ref="L394:L395"/>
    <mergeCell ref="M394:M395"/>
    <mergeCell ref="A394:A395"/>
    <mergeCell ref="B394:B395"/>
    <mergeCell ref="C394:C395"/>
    <mergeCell ref="D394:D395"/>
    <mergeCell ref="E394:E395"/>
    <mergeCell ref="F394:F395"/>
    <mergeCell ref="H392:H393"/>
    <mergeCell ref="I392:I393"/>
    <mergeCell ref="J392:J393"/>
    <mergeCell ref="K392:K393"/>
    <mergeCell ref="L392:L393"/>
    <mergeCell ref="M392:M393"/>
    <mergeCell ref="H398:H399"/>
    <mergeCell ref="I398:I399"/>
    <mergeCell ref="J398:J399"/>
    <mergeCell ref="K398:K399"/>
    <mergeCell ref="L398:L399"/>
    <mergeCell ref="M398:M399"/>
    <mergeCell ref="A398:A399"/>
    <mergeCell ref="B398:B399"/>
    <mergeCell ref="C398:C399"/>
    <mergeCell ref="D398:D399"/>
    <mergeCell ref="E398:E399"/>
    <mergeCell ref="F398:F399"/>
    <mergeCell ref="H396:H397"/>
    <mergeCell ref="I396:I397"/>
    <mergeCell ref="J396:J397"/>
    <mergeCell ref="K396:K397"/>
    <mergeCell ref="L396:L397"/>
    <mergeCell ref="M396:M397"/>
    <mergeCell ref="A396:A397"/>
    <mergeCell ref="B396:B397"/>
    <mergeCell ref="C396:C397"/>
    <mergeCell ref="D396:D397"/>
    <mergeCell ref="E396:E397"/>
    <mergeCell ref="F396:F397"/>
    <mergeCell ref="A410:D410"/>
    <mergeCell ref="H410:K410"/>
    <mergeCell ref="M410:O410"/>
    <mergeCell ref="M415:O415"/>
    <mergeCell ref="A426:G426"/>
    <mergeCell ref="H426:O426"/>
    <mergeCell ref="A402:E402"/>
    <mergeCell ref="H402:L402"/>
    <mergeCell ref="A403:E403"/>
    <mergeCell ref="H403:L403"/>
    <mergeCell ref="A404:E404"/>
    <mergeCell ref="H404:L404"/>
    <mergeCell ref="H400:H401"/>
    <mergeCell ref="I400:I401"/>
    <mergeCell ref="J400:J401"/>
    <mergeCell ref="K400:K401"/>
    <mergeCell ref="L400:L401"/>
    <mergeCell ref="M400:M401"/>
    <mergeCell ref="A400:A401"/>
    <mergeCell ref="B400:B401"/>
    <mergeCell ref="C400:C401"/>
    <mergeCell ref="D400:D401"/>
    <mergeCell ref="E400:E401"/>
    <mergeCell ref="F400:F401"/>
    <mergeCell ref="K430:K431"/>
    <mergeCell ref="L430:L431"/>
    <mergeCell ref="M430:M431"/>
    <mergeCell ref="A432:A433"/>
    <mergeCell ref="B432:B433"/>
    <mergeCell ref="C432:C433"/>
    <mergeCell ref="D432:D433"/>
    <mergeCell ref="E432:E433"/>
    <mergeCell ref="F432:F433"/>
    <mergeCell ref="H432:H433"/>
    <mergeCell ref="N428:O428"/>
    <mergeCell ref="A430:A431"/>
    <mergeCell ref="B430:B431"/>
    <mergeCell ref="C430:C431"/>
    <mergeCell ref="D430:D431"/>
    <mergeCell ref="E430:E431"/>
    <mergeCell ref="F430:F431"/>
    <mergeCell ref="H430:H431"/>
    <mergeCell ref="I430:I431"/>
    <mergeCell ref="J430:J431"/>
    <mergeCell ref="H428:H429"/>
    <mergeCell ref="I428:I429"/>
    <mergeCell ref="J428:J429"/>
    <mergeCell ref="K428:K429"/>
    <mergeCell ref="L428:L429"/>
    <mergeCell ref="M428:M429"/>
    <mergeCell ref="A428:A429"/>
    <mergeCell ref="B428:B429"/>
    <mergeCell ref="C428:C429"/>
    <mergeCell ref="D428:D429"/>
    <mergeCell ref="E428:E429"/>
    <mergeCell ref="F428:F429"/>
    <mergeCell ref="M434:M435"/>
    <mergeCell ref="A436:A437"/>
    <mergeCell ref="B436:B437"/>
    <mergeCell ref="C436:C437"/>
    <mergeCell ref="D436:D437"/>
    <mergeCell ref="E436:E437"/>
    <mergeCell ref="F436:F437"/>
    <mergeCell ref="H436:H437"/>
    <mergeCell ref="I436:I437"/>
    <mergeCell ref="J436:J437"/>
    <mergeCell ref="I432:I433"/>
    <mergeCell ref="J432:J433"/>
    <mergeCell ref="K432:K433"/>
    <mergeCell ref="L432:L433"/>
    <mergeCell ref="M432:M433"/>
    <mergeCell ref="H434:H435"/>
    <mergeCell ref="I434:I435"/>
    <mergeCell ref="J434:J435"/>
    <mergeCell ref="K434:K435"/>
    <mergeCell ref="L434:L435"/>
    <mergeCell ref="A441:E441"/>
    <mergeCell ref="H441:L441"/>
    <mergeCell ref="A442:E442"/>
    <mergeCell ref="H442:L442"/>
    <mergeCell ref="A448:D448"/>
    <mergeCell ref="H448:K448"/>
    <mergeCell ref="I438:I439"/>
    <mergeCell ref="J438:J439"/>
    <mergeCell ref="K438:K439"/>
    <mergeCell ref="L438:L439"/>
    <mergeCell ref="M438:M439"/>
    <mergeCell ref="A440:E440"/>
    <mergeCell ref="H440:L440"/>
    <mergeCell ref="K436:K437"/>
    <mergeCell ref="L436:L437"/>
    <mergeCell ref="M436:M437"/>
    <mergeCell ref="A438:A439"/>
    <mergeCell ref="B438:B439"/>
    <mergeCell ref="C438:C439"/>
    <mergeCell ref="D438:D439"/>
    <mergeCell ref="E438:E439"/>
    <mergeCell ref="F438:F439"/>
    <mergeCell ref="H438:H439"/>
    <mergeCell ref="N466:O466"/>
    <mergeCell ref="A468:A469"/>
    <mergeCell ref="B468:B469"/>
    <mergeCell ref="C468:C469"/>
    <mergeCell ref="D468:D469"/>
    <mergeCell ref="E468:E469"/>
    <mergeCell ref="F468:F469"/>
    <mergeCell ref="H468:H469"/>
    <mergeCell ref="I468:I469"/>
    <mergeCell ref="J468:J469"/>
    <mergeCell ref="H466:H467"/>
    <mergeCell ref="I466:I467"/>
    <mergeCell ref="J466:J467"/>
    <mergeCell ref="K466:K467"/>
    <mergeCell ref="L466:L467"/>
    <mergeCell ref="M466:M467"/>
    <mergeCell ref="M448:O448"/>
    <mergeCell ref="M453:O453"/>
    <mergeCell ref="A464:G464"/>
    <mergeCell ref="H464:O464"/>
    <mergeCell ref="A466:A467"/>
    <mergeCell ref="B466:B467"/>
    <mergeCell ref="C466:C467"/>
    <mergeCell ref="D466:D467"/>
    <mergeCell ref="E466:E467"/>
    <mergeCell ref="F466:F467"/>
    <mergeCell ref="I470:I471"/>
    <mergeCell ref="J470:J471"/>
    <mergeCell ref="K470:K471"/>
    <mergeCell ref="L470:L471"/>
    <mergeCell ref="M470:M471"/>
    <mergeCell ref="H472:H473"/>
    <mergeCell ref="I472:I473"/>
    <mergeCell ref="J472:J473"/>
    <mergeCell ref="K472:K473"/>
    <mergeCell ref="L472:L473"/>
    <mergeCell ref="K468:K469"/>
    <mergeCell ref="L468:L469"/>
    <mergeCell ref="M468:M469"/>
    <mergeCell ref="A470:A471"/>
    <mergeCell ref="B470:B471"/>
    <mergeCell ref="C470:C471"/>
    <mergeCell ref="D470:D471"/>
    <mergeCell ref="E470:E471"/>
    <mergeCell ref="F470:F471"/>
    <mergeCell ref="H470:H471"/>
    <mergeCell ref="K474:K475"/>
    <mergeCell ref="L474:L475"/>
    <mergeCell ref="M474:M475"/>
    <mergeCell ref="A476:A477"/>
    <mergeCell ref="B476:B477"/>
    <mergeCell ref="C476:C477"/>
    <mergeCell ref="D476:D477"/>
    <mergeCell ref="E476:E477"/>
    <mergeCell ref="F476:F477"/>
    <mergeCell ref="H476:H477"/>
    <mergeCell ref="M472:M473"/>
    <mergeCell ref="A474:A475"/>
    <mergeCell ref="B474:B475"/>
    <mergeCell ref="C474:C475"/>
    <mergeCell ref="D474:D475"/>
    <mergeCell ref="E474:E475"/>
    <mergeCell ref="F474:F475"/>
    <mergeCell ref="H474:H475"/>
    <mergeCell ref="I474:I475"/>
    <mergeCell ref="J474:J475"/>
    <mergeCell ref="M486:O486"/>
    <mergeCell ref="M491:O491"/>
    <mergeCell ref="A501:G501"/>
    <mergeCell ref="H501:O501"/>
    <mergeCell ref="A503:A504"/>
    <mergeCell ref="B503:B504"/>
    <mergeCell ref="C503:C504"/>
    <mergeCell ref="D503:D504"/>
    <mergeCell ref="E503:E504"/>
    <mergeCell ref="F503:F504"/>
    <mergeCell ref="A479:E479"/>
    <mergeCell ref="H479:L479"/>
    <mergeCell ref="A480:E480"/>
    <mergeCell ref="H480:L480"/>
    <mergeCell ref="A486:D486"/>
    <mergeCell ref="H486:K486"/>
    <mergeCell ref="I476:I477"/>
    <mergeCell ref="J476:J477"/>
    <mergeCell ref="K476:K477"/>
    <mergeCell ref="L476:L477"/>
    <mergeCell ref="M476:M477"/>
    <mergeCell ref="A478:E478"/>
    <mergeCell ref="H478:L478"/>
    <mergeCell ref="K505:K506"/>
    <mergeCell ref="L505:L506"/>
    <mergeCell ref="M505:M506"/>
    <mergeCell ref="H507:H508"/>
    <mergeCell ref="I507:I508"/>
    <mergeCell ref="J507:J508"/>
    <mergeCell ref="K507:K508"/>
    <mergeCell ref="L507:L508"/>
    <mergeCell ref="M507:M508"/>
    <mergeCell ref="N503:O503"/>
    <mergeCell ref="A505:A506"/>
    <mergeCell ref="B505:B506"/>
    <mergeCell ref="C505:C506"/>
    <mergeCell ref="D505:D506"/>
    <mergeCell ref="E505:E506"/>
    <mergeCell ref="F505:F506"/>
    <mergeCell ref="H505:H506"/>
    <mergeCell ref="I505:I506"/>
    <mergeCell ref="J505:J506"/>
    <mergeCell ref="H503:H504"/>
    <mergeCell ref="I503:I504"/>
    <mergeCell ref="J503:J504"/>
    <mergeCell ref="K503:K504"/>
    <mergeCell ref="L503:L504"/>
    <mergeCell ref="M503:M504"/>
    <mergeCell ref="H511:H512"/>
    <mergeCell ref="I511:I512"/>
    <mergeCell ref="J511:J512"/>
    <mergeCell ref="K511:K512"/>
    <mergeCell ref="L511:L512"/>
    <mergeCell ref="M511:M512"/>
    <mergeCell ref="A511:A512"/>
    <mergeCell ref="B511:B512"/>
    <mergeCell ref="C511:C512"/>
    <mergeCell ref="D511:D512"/>
    <mergeCell ref="E511:E512"/>
    <mergeCell ref="F511:F512"/>
    <mergeCell ref="H509:H510"/>
    <mergeCell ref="I509:I510"/>
    <mergeCell ref="J509:J510"/>
    <mergeCell ref="K509:K510"/>
    <mergeCell ref="L509:L510"/>
    <mergeCell ref="M509:M510"/>
    <mergeCell ref="A523:D523"/>
    <mergeCell ref="H523:K523"/>
    <mergeCell ref="M523:O523"/>
    <mergeCell ref="M528:O528"/>
    <mergeCell ref="A538:G538"/>
    <mergeCell ref="H538:O538"/>
    <mergeCell ref="A515:E515"/>
    <mergeCell ref="H515:L515"/>
    <mergeCell ref="A516:E516"/>
    <mergeCell ref="H516:L516"/>
    <mergeCell ref="A517:E517"/>
    <mergeCell ref="H517:L517"/>
    <mergeCell ref="H513:H514"/>
    <mergeCell ref="I513:I514"/>
    <mergeCell ref="J513:J514"/>
    <mergeCell ref="K513:K514"/>
    <mergeCell ref="L513:L514"/>
    <mergeCell ref="M513:M514"/>
    <mergeCell ref="A513:A514"/>
    <mergeCell ref="B513:B514"/>
    <mergeCell ref="C513:C514"/>
    <mergeCell ref="D513:D514"/>
    <mergeCell ref="E513:E514"/>
    <mergeCell ref="F513:F514"/>
    <mergeCell ref="K542:K543"/>
    <mergeCell ref="L542:L543"/>
    <mergeCell ref="M542:M543"/>
    <mergeCell ref="H544:H545"/>
    <mergeCell ref="I544:I545"/>
    <mergeCell ref="J544:J545"/>
    <mergeCell ref="K544:K545"/>
    <mergeCell ref="L544:L545"/>
    <mergeCell ref="M544:M545"/>
    <mergeCell ref="N540:O540"/>
    <mergeCell ref="A542:A543"/>
    <mergeCell ref="B542:B543"/>
    <mergeCell ref="C542:C543"/>
    <mergeCell ref="D542:D543"/>
    <mergeCell ref="E542:E543"/>
    <mergeCell ref="F542:F543"/>
    <mergeCell ref="H542:H543"/>
    <mergeCell ref="I542:I543"/>
    <mergeCell ref="J542:J543"/>
    <mergeCell ref="H540:H541"/>
    <mergeCell ref="I540:I541"/>
    <mergeCell ref="J540:J541"/>
    <mergeCell ref="K540:K541"/>
    <mergeCell ref="L540:L541"/>
    <mergeCell ref="M540:M541"/>
    <mergeCell ref="A540:A541"/>
    <mergeCell ref="B540:B541"/>
    <mergeCell ref="C540:C541"/>
    <mergeCell ref="D540:D541"/>
    <mergeCell ref="E540:E541"/>
    <mergeCell ref="F540:F541"/>
    <mergeCell ref="A556:D556"/>
    <mergeCell ref="H556:K556"/>
    <mergeCell ref="M556:O556"/>
    <mergeCell ref="M561:O561"/>
    <mergeCell ref="A571:G571"/>
    <mergeCell ref="H571:O571"/>
    <mergeCell ref="A548:E548"/>
    <mergeCell ref="H548:L548"/>
    <mergeCell ref="A549:E549"/>
    <mergeCell ref="H549:L549"/>
    <mergeCell ref="A550:E550"/>
    <mergeCell ref="H550:L550"/>
    <mergeCell ref="H546:H547"/>
    <mergeCell ref="I546:I547"/>
    <mergeCell ref="J546:J547"/>
    <mergeCell ref="K546:K547"/>
    <mergeCell ref="L546:L547"/>
    <mergeCell ref="M546:M547"/>
    <mergeCell ref="A546:A547"/>
    <mergeCell ref="B546:B547"/>
    <mergeCell ref="C546:C547"/>
    <mergeCell ref="D546:D547"/>
    <mergeCell ref="E546:E547"/>
    <mergeCell ref="F546:F547"/>
    <mergeCell ref="N573:O573"/>
    <mergeCell ref="A575:A576"/>
    <mergeCell ref="B575:B576"/>
    <mergeCell ref="C575:C576"/>
    <mergeCell ref="D575:D576"/>
    <mergeCell ref="E575:E576"/>
    <mergeCell ref="F575:F576"/>
    <mergeCell ref="H575:H576"/>
    <mergeCell ref="I575:I576"/>
    <mergeCell ref="J575:J576"/>
    <mergeCell ref="H573:H574"/>
    <mergeCell ref="I573:I574"/>
    <mergeCell ref="J573:J574"/>
    <mergeCell ref="K573:K574"/>
    <mergeCell ref="L573:L574"/>
    <mergeCell ref="M573:M574"/>
    <mergeCell ref="A573:A574"/>
    <mergeCell ref="B573:B574"/>
    <mergeCell ref="C573:C574"/>
    <mergeCell ref="D573:D574"/>
    <mergeCell ref="E573:E574"/>
    <mergeCell ref="F573:F574"/>
    <mergeCell ref="I577:I578"/>
    <mergeCell ref="J577:J578"/>
    <mergeCell ref="K577:K578"/>
    <mergeCell ref="L577:L578"/>
    <mergeCell ref="M577:M578"/>
    <mergeCell ref="H579:H580"/>
    <mergeCell ref="I579:I580"/>
    <mergeCell ref="J579:J580"/>
    <mergeCell ref="K579:K580"/>
    <mergeCell ref="L579:L580"/>
    <mergeCell ref="K575:K576"/>
    <mergeCell ref="L575:L576"/>
    <mergeCell ref="M575:M576"/>
    <mergeCell ref="A577:A578"/>
    <mergeCell ref="B577:B578"/>
    <mergeCell ref="C577:C578"/>
    <mergeCell ref="D577:D578"/>
    <mergeCell ref="E577:E578"/>
    <mergeCell ref="F577:F578"/>
    <mergeCell ref="H577:H578"/>
    <mergeCell ref="A591:D591"/>
    <mergeCell ref="H591:K591"/>
    <mergeCell ref="M591:O591"/>
    <mergeCell ref="M596:O596"/>
    <mergeCell ref="A606:G606"/>
    <mergeCell ref="H606:O606"/>
    <mergeCell ref="A583:E583"/>
    <mergeCell ref="H583:L583"/>
    <mergeCell ref="A584:E584"/>
    <mergeCell ref="H584:L584"/>
    <mergeCell ref="A585:E585"/>
    <mergeCell ref="H585:L585"/>
    <mergeCell ref="M579:M580"/>
    <mergeCell ref="H581:H582"/>
    <mergeCell ref="I581:I582"/>
    <mergeCell ref="J581:J582"/>
    <mergeCell ref="K581:K582"/>
    <mergeCell ref="L581:L582"/>
    <mergeCell ref="M581:M582"/>
    <mergeCell ref="N608:O608"/>
    <mergeCell ref="A610:A611"/>
    <mergeCell ref="B610:B611"/>
    <mergeCell ref="C610:C611"/>
    <mergeCell ref="D610:D611"/>
    <mergeCell ref="E610:E611"/>
    <mergeCell ref="F610:F611"/>
    <mergeCell ref="H610:H611"/>
    <mergeCell ref="I610:I611"/>
    <mergeCell ref="J610:J611"/>
    <mergeCell ref="H608:H609"/>
    <mergeCell ref="I608:I609"/>
    <mergeCell ref="J608:J609"/>
    <mergeCell ref="K608:K609"/>
    <mergeCell ref="L608:L609"/>
    <mergeCell ref="M608:M609"/>
    <mergeCell ref="A608:A609"/>
    <mergeCell ref="B608:B609"/>
    <mergeCell ref="C608:C609"/>
    <mergeCell ref="D608:D609"/>
    <mergeCell ref="E608:E609"/>
    <mergeCell ref="F608:F609"/>
    <mergeCell ref="H614:H615"/>
    <mergeCell ref="I614:I615"/>
    <mergeCell ref="J614:J615"/>
    <mergeCell ref="K614:K615"/>
    <mergeCell ref="L614:L615"/>
    <mergeCell ref="M614:M615"/>
    <mergeCell ref="A614:A615"/>
    <mergeCell ref="B614:B615"/>
    <mergeCell ref="C614:C615"/>
    <mergeCell ref="D614:D615"/>
    <mergeCell ref="E614:E615"/>
    <mergeCell ref="F614:F615"/>
    <mergeCell ref="K610:K611"/>
    <mergeCell ref="L610:L611"/>
    <mergeCell ref="M610:M611"/>
    <mergeCell ref="H612:H613"/>
    <mergeCell ref="I612:I613"/>
    <mergeCell ref="J612:J613"/>
    <mergeCell ref="K612:K613"/>
    <mergeCell ref="L612:L613"/>
    <mergeCell ref="M612:M613"/>
    <mergeCell ref="A626:D626"/>
    <mergeCell ref="H626:K626"/>
    <mergeCell ref="M626:O626"/>
    <mergeCell ref="M631:O631"/>
    <mergeCell ref="A640:G640"/>
    <mergeCell ref="H640:O640"/>
    <mergeCell ref="A618:E618"/>
    <mergeCell ref="H618:L618"/>
    <mergeCell ref="A619:E619"/>
    <mergeCell ref="H619:L619"/>
    <mergeCell ref="A620:E620"/>
    <mergeCell ref="H620:L620"/>
    <mergeCell ref="H616:H617"/>
    <mergeCell ref="I616:I617"/>
    <mergeCell ref="J616:J617"/>
    <mergeCell ref="K616:K617"/>
    <mergeCell ref="L616:L617"/>
    <mergeCell ref="M616:M617"/>
    <mergeCell ref="N642:O642"/>
    <mergeCell ref="A644:A645"/>
    <mergeCell ref="B644:B645"/>
    <mergeCell ref="C644:C645"/>
    <mergeCell ref="D644:D645"/>
    <mergeCell ref="E644:E645"/>
    <mergeCell ref="F644:F645"/>
    <mergeCell ref="H644:H645"/>
    <mergeCell ref="I644:I645"/>
    <mergeCell ref="J644:J645"/>
    <mergeCell ref="H642:H643"/>
    <mergeCell ref="I642:I643"/>
    <mergeCell ref="J642:J643"/>
    <mergeCell ref="K642:K643"/>
    <mergeCell ref="L642:L643"/>
    <mergeCell ref="M642:M643"/>
    <mergeCell ref="A642:A643"/>
    <mergeCell ref="B642:B643"/>
    <mergeCell ref="C642:C643"/>
    <mergeCell ref="D642:D643"/>
    <mergeCell ref="E642:E643"/>
    <mergeCell ref="F642:F643"/>
    <mergeCell ref="H648:H649"/>
    <mergeCell ref="I648:I649"/>
    <mergeCell ref="J648:J649"/>
    <mergeCell ref="K648:K649"/>
    <mergeCell ref="L648:L649"/>
    <mergeCell ref="M648:M649"/>
    <mergeCell ref="A648:A649"/>
    <mergeCell ref="B648:B649"/>
    <mergeCell ref="C648:C649"/>
    <mergeCell ref="D648:D649"/>
    <mergeCell ref="E648:E649"/>
    <mergeCell ref="F648:F649"/>
    <mergeCell ref="K644:K645"/>
    <mergeCell ref="L644:L645"/>
    <mergeCell ref="M644:M645"/>
    <mergeCell ref="H646:H647"/>
    <mergeCell ref="I646:I647"/>
    <mergeCell ref="J646:J647"/>
    <mergeCell ref="K646:K647"/>
    <mergeCell ref="L646:L647"/>
    <mergeCell ref="M646:M647"/>
    <mergeCell ref="H652:H653"/>
    <mergeCell ref="I652:I653"/>
    <mergeCell ref="J652:J653"/>
    <mergeCell ref="K652:K653"/>
    <mergeCell ref="L652:L653"/>
    <mergeCell ref="M652:M653"/>
    <mergeCell ref="H650:H651"/>
    <mergeCell ref="I650:I651"/>
    <mergeCell ref="J650:J651"/>
    <mergeCell ref="K650:K651"/>
    <mergeCell ref="L650:L651"/>
    <mergeCell ref="M650:M651"/>
    <mergeCell ref="A650:A651"/>
    <mergeCell ref="B650:B651"/>
    <mergeCell ref="C650:C651"/>
    <mergeCell ref="D650:D651"/>
    <mergeCell ref="E650:E651"/>
    <mergeCell ref="F650:F651"/>
    <mergeCell ref="B679:B680"/>
    <mergeCell ref="C679:C680"/>
    <mergeCell ref="D679:D680"/>
    <mergeCell ref="E679:E680"/>
    <mergeCell ref="F679:F680"/>
    <mergeCell ref="A662:D662"/>
    <mergeCell ref="H662:K662"/>
    <mergeCell ref="M663:O663"/>
    <mergeCell ref="M667:O667"/>
    <mergeCell ref="M668:O668"/>
    <mergeCell ref="A677:G677"/>
    <mergeCell ref="H677:O677"/>
    <mergeCell ref="A654:E654"/>
    <mergeCell ref="H654:L654"/>
    <mergeCell ref="A655:E655"/>
    <mergeCell ref="H655:L655"/>
    <mergeCell ref="A656:E656"/>
    <mergeCell ref="H656:L656"/>
    <mergeCell ref="A685:A686"/>
    <mergeCell ref="B685:B686"/>
    <mergeCell ref="C685:C686"/>
    <mergeCell ref="D685:D686"/>
    <mergeCell ref="E685:E686"/>
    <mergeCell ref="K681:K682"/>
    <mergeCell ref="L681:L682"/>
    <mergeCell ref="M681:M682"/>
    <mergeCell ref="A683:A684"/>
    <mergeCell ref="B683:B684"/>
    <mergeCell ref="C683:C684"/>
    <mergeCell ref="D683:D684"/>
    <mergeCell ref="E683:E684"/>
    <mergeCell ref="F683:F684"/>
    <mergeCell ref="H683:H684"/>
    <mergeCell ref="N679:O679"/>
    <mergeCell ref="A681:A682"/>
    <mergeCell ref="B681:B682"/>
    <mergeCell ref="C681:C682"/>
    <mergeCell ref="D681:D682"/>
    <mergeCell ref="E681:E682"/>
    <mergeCell ref="F681:F682"/>
    <mergeCell ref="H681:H682"/>
    <mergeCell ref="I681:I682"/>
    <mergeCell ref="J681:J682"/>
    <mergeCell ref="H679:H680"/>
    <mergeCell ref="I679:I680"/>
    <mergeCell ref="J679:J680"/>
    <mergeCell ref="K679:K680"/>
    <mergeCell ref="L679:L680"/>
    <mergeCell ref="M679:M680"/>
    <mergeCell ref="A679:A680"/>
    <mergeCell ref="M685:M686"/>
    <mergeCell ref="H687:H688"/>
    <mergeCell ref="I687:I688"/>
    <mergeCell ref="J687:J688"/>
    <mergeCell ref="K687:K688"/>
    <mergeCell ref="L687:L688"/>
    <mergeCell ref="M687:M688"/>
    <mergeCell ref="F685:F686"/>
    <mergeCell ref="H685:H686"/>
    <mergeCell ref="I685:I686"/>
    <mergeCell ref="J685:J686"/>
    <mergeCell ref="K685:K686"/>
    <mergeCell ref="L685:L686"/>
    <mergeCell ref="I683:I684"/>
    <mergeCell ref="J683:J684"/>
    <mergeCell ref="K683:K684"/>
    <mergeCell ref="L683:L684"/>
    <mergeCell ref="M683:M684"/>
    <mergeCell ref="A699:D699"/>
    <mergeCell ref="H699:K699"/>
    <mergeCell ref="M699:O699"/>
    <mergeCell ref="M702:O702"/>
    <mergeCell ref="M704:O704"/>
    <mergeCell ref="A714:G714"/>
    <mergeCell ref="H714:O714"/>
    <mergeCell ref="A691:E691"/>
    <mergeCell ref="H691:L691"/>
    <mergeCell ref="A692:E692"/>
    <mergeCell ref="H692:L692"/>
    <mergeCell ref="A693:E693"/>
    <mergeCell ref="H693:L693"/>
    <mergeCell ref="H689:H690"/>
    <mergeCell ref="I689:I690"/>
    <mergeCell ref="J689:J690"/>
    <mergeCell ref="K689:K690"/>
    <mergeCell ref="L689:L690"/>
    <mergeCell ref="M689:M690"/>
    <mergeCell ref="A689:A690"/>
    <mergeCell ref="B689:B690"/>
    <mergeCell ref="C689:C690"/>
    <mergeCell ref="D689:D690"/>
    <mergeCell ref="E689:E690"/>
    <mergeCell ref="F689:F690"/>
    <mergeCell ref="K718:K719"/>
    <mergeCell ref="L718:L719"/>
    <mergeCell ref="M718:M719"/>
    <mergeCell ref="A720:A721"/>
    <mergeCell ref="B720:B721"/>
    <mergeCell ref="C720:C721"/>
    <mergeCell ref="D720:D721"/>
    <mergeCell ref="E720:E721"/>
    <mergeCell ref="F720:F721"/>
    <mergeCell ref="H720:H721"/>
    <mergeCell ref="N716:O716"/>
    <mergeCell ref="A718:A719"/>
    <mergeCell ref="B718:B719"/>
    <mergeCell ref="C718:C719"/>
    <mergeCell ref="D718:D719"/>
    <mergeCell ref="E718:E719"/>
    <mergeCell ref="F718:F719"/>
    <mergeCell ref="H718:H719"/>
    <mergeCell ref="I718:I719"/>
    <mergeCell ref="J718:J719"/>
    <mergeCell ref="H716:H717"/>
    <mergeCell ref="I716:I717"/>
    <mergeCell ref="J716:J717"/>
    <mergeCell ref="K716:K717"/>
    <mergeCell ref="L716:L717"/>
    <mergeCell ref="M716:M717"/>
    <mergeCell ref="A716:A717"/>
    <mergeCell ref="B716:B717"/>
    <mergeCell ref="C716:C717"/>
    <mergeCell ref="D716:D717"/>
    <mergeCell ref="E716:E717"/>
    <mergeCell ref="F716:F717"/>
    <mergeCell ref="M726:M727"/>
    <mergeCell ref="A726:A727"/>
    <mergeCell ref="B726:B727"/>
    <mergeCell ref="C726:C727"/>
    <mergeCell ref="D726:D727"/>
    <mergeCell ref="E726:E727"/>
    <mergeCell ref="F726:F727"/>
    <mergeCell ref="M722:M723"/>
    <mergeCell ref="H724:H725"/>
    <mergeCell ref="I724:I725"/>
    <mergeCell ref="J724:J725"/>
    <mergeCell ref="K724:K725"/>
    <mergeCell ref="L724:L725"/>
    <mergeCell ref="M724:M725"/>
    <mergeCell ref="I720:I721"/>
    <mergeCell ref="J720:J721"/>
    <mergeCell ref="K720:K721"/>
    <mergeCell ref="L720:L721"/>
    <mergeCell ref="M720:M721"/>
    <mergeCell ref="H722:H723"/>
    <mergeCell ref="I722:I723"/>
    <mergeCell ref="J722:J723"/>
    <mergeCell ref="K722:K723"/>
    <mergeCell ref="L722:L723"/>
    <mergeCell ref="H728:L728"/>
    <mergeCell ref="H729:L729"/>
    <mergeCell ref="A730:E730"/>
    <mergeCell ref="H730:L730"/>
    <mergeCell ref="A731:E731"/>
    <mergeCell ref="A732:E732"/>
    <mergeCell ref="A728:A729"/>
    <mergeCell ref="B728:B729"/>
    <mergeCell ref="C728:C729"/>
    <mergeCell ref="D728:D729"/>
    <mergeCell ref="E728:E729"/>
    <mergeCell ref="F728:F729"/>
    <mergeCell ref="H726:H727"/>
    <mergeCell ref="I726:I727"/>
    <mergeCell ref="J726:J727"/>
    <mergeCell ref="K726:K727"/>
    <mergeCell ref="L726:L727"/>
    <mergeCell ref="L753:L754"/>
    <mergeCell ref="M753:M754"/>
    <mergeCell ref="N753:O753"/>
    <mergeCell ref="A755:A756"/>
    <mergeCell ref="B755:B756"/>
    <mergeCell ref="C755:C756"/>
    <mergeCell ref="D755:D756"/>
    <mergeCell ref="E755:E756"/>
    <mergeCell ref="F755:F756"/>
    <mergeCell ref="H755:H756"/>
    <mergeCell ref="H736:K736"/>
    <mergeCell ref="M736:O736"/>
    <mergeCell ref="A738:D738"/>
    <mergeCell ref="M741:O741"/>
    <mergeCell ref="H751:O751"/>
    <mergeCell ref="A753:G753"/>
    <mergeCell ref="H753:H754"/>
    <mergeCell ref="I753:I754"/>
    <mergeCell ref="J753:J754"/>
    <mergeCell ref="K753:K754"/>
    <mergeCell ref="M757:M758"/>
    <mergeCell ref="A759:A760"/>
    <mergeCell ref="B759:B760"/>
    <mergeCell ref="C759:C760"/>
    <mergeCell ref="D759:D760"/>
    <mergeCell ref="E759:E760"/>
    <mergeCell ref="F759:F760"/>
    <mergeCell ref="H759:H760"/>
    <mergeCell ref="I759:I760"/>
    <mergeCell ref="J759:J760"/>
    <mergeCell ref="I755:I756"/>
    <mergeCell ref="J755:J756"/>
    <mergeCell ref="K755:K756"/>
    <mergeCell ref="L755:L756"/>
    <mergeCell ref="M755:M756"/>
    <mergeCell ref="H757:H758"/>
    <mergeCell ref="I757:I758"/>
    <mergeCell ref="J757:J758"/>
    <mergeCell ref="K757:K758"/>
    <mergeCell ref="L757:L758"/>
    <mergeCell ref="I761:I762"/>
    <mergeCell ref="J761:J762"/>
    <mergeCell ref="K761:K762"/>
    <mergeCell ref="L761:L762"/>
    <mergeCell ref="M761:M762"/>
    <mergeCell ref="A763:A764"/>
    <mergeCell ref="B763:B764"/>
    <mergeCell ref="C763:C764"/>
    <mergeCell ref="D763:D764"/>
    <mergeCell ref="E763:E764"/>
    <mergeCell ref="K759:K760"/>
    <mergeCell ref="L759:L760"/>
    <mergeCell ref="M759:M760"/>
    <mergeCell ref="A761:A762"/>
    <mergeCell ref="B761:B762"/>
    <mergeCell ref="C761:C762"/>
    <mergeCell ref="D761:D762"/>
    <mergeCell ref="E761:E762"/>
    <mergeCell ref="F761:F762"/>
    <mergeCell ref="H761:H762"/>
    <mergeCell ref="A767:E767"/>
    <mergeCell ref="H767:L767"/>
    <mergeCell ref="A768:E768"/>
    <mergeCell ref="A769:E769"/>
    <mergeCell ref="H773:K773"/>
    <mergeCell ref="M773:O773"/>
    <mergeCell ref="M763:M764"/>
    <mergeCell ref="A765:A766"/>
    <mergeCell ref="B765:B766"/>
    <mergeCell ref="C765:C766"/>
    <mergeCell ref="D765:D766"/>
    <mergeCell ref="E765:E766"/>
    <mergeCell ref="F765:F766"/>
    <mergeCell ref="H765:L765"/>
    <mergeCell ref="H766:L766"/>
    <mergeCell ref="F763:F764"/>
    <mergeCell ref="H763:H764"/>
    <mergeCell ref="I763:I764"/>
    <mergeCell ref="J763:J764"/>
    <mergeCell ref="K763:K764"/>
    <mergeCell ref="L763:L764"/>
    <mergeCell ref="N790:O790"/>
    <mergeCell ref="A792:A793"/>
    <mergeCell ref="B792:B793"/>
    <mergeCell ref="C792:C793"/>
    <mergeCell ref="D792:D793"/>
    <mergeCell ref="E792:E793"/>
    <mergeCell ref="F792:F793"/>
    <mergeCell ref="H792:H793"/>
    <mergeCell ref="I792:I793"/>
    <mergeCell ref="J792:J793"/>
    <mergeCell ref="A775:D775"/>
    <mergeCell ref="M778:O778"/>
    <mergeCell ref="H788:O788"/>
    <mergeCell ref="A790:G790"/>
    <mergeCell ref="H790:H791"/>
    <mergeCell ref="I790:I791"/>
    <mergeCell ref="J790:J791"/>
    <mergeCell ref="K790:K791"/>
    <mergeCell ref="L790:L791"/>
    <mergeCell ref="M790:M791"/>
    <mergeCell ref="I794:I795"/>
    <mergeCell ref="J794:J795"/>
    <mergeCell ref="K794:K795"/>
    <mergeCell ref="L794:L795"/>
    <mergeCell ref="M794:M795"/>
    <mergeCell ref="H796:H797"/>
    <mergeCell ref="I796:I797"/>
    <mergeCell ref="J796:J797"/>
    <mergeCell ref="K796:K797"/>
    <mergeCell ref="L796:L797"/>
    <mergeCell ref="K792:K793"/>
    <mergeCell ref="L792:L793"/>
    <mergeCell ref="M792:M793"/>
    <mergeCell ref="A794:A795"/>
    <mergeCell ref="B794:B795"/>
    <mergeCell ref="C794:C795"/>
    <mergeCell ref="D794:D795"/>
    <mergeCell ref="E794:E795"/>
    <mergeCell ref="F794:F795"/>
    <mergeCell ref="H794:H795"/>
    <mergeCell ref="H801:L801"/>
    <mergeCell ref="A802:E802"/>
    <mergeCell ref="H802:L802"/>
    <mergeCell ref="A803:E803"/>
    <mergeCell ref="A804:E804"/>
    <mergeCell ref="H808:K808"/>
    <mergeCell ref="K798:K799"/>
    <mergeCell ref="L798:L799"/>
    <mergeCell ref="M798:M799"/>
    <mergeCell ref="A800:A801"/>
    <mergeCell ref="B800:B801"/>
    <mergeCell ref="C800:C801"/>
    <mergeCell ref="D800:D801"/>
    <mergeCell ref="E800:E801"/>
    <mergeCell ref="F800:F801"/>
    <mergeCell ref="H800:L800"/>
    <mergeCell ref="M796:M797"/>
    <mergeCell ref="A798:A799"/>
    <mergeCell ref="B798:B799"/>
    <mergeCell ref="C798:C799"/>
    <mergeCell ref="D798:D799"/>
    <mergeCell ref="E798:E799"/>
    <mergeCell ref="F798:F799"/>
    <mergeCell ref="H798:H799"/>
    <mergeCell ref="I798:I799"/>
    <mergeCell ref="J798:J799"/>
    <mergeCell ref="N825:O825"/>
    <mergeCell ref="A827:A828"/>
    <mergeCell ref="B827:B828"/>
    <mergeCell ref="C827:C828"/>
    <mergeCell ref="D827:D828"/>
    <mergeCell ref="E827:E828"/>
    <mergeCell ref="F827:F828"/>
    <mergeCell ref="H827:H828"/>
    <mergeCell ref="I827:I828"/>
    <mergeCell ref="M808:O808"/>
    <mergeCell ref="A810:D810"/>
    <mergeCell ref="M813:O813"/>
    <mergeCell ref="H823:O823"/>
    <mergeCell ref="A825:G825"/>
    <mergeCell ref="H825:H826"/>
    <mergeCell ref="I825:I826"/>
    <mergeCell ref="J825:J826"/>
    <mergeCell ref="K825:K826"/>
    <mergeCell ref="L825:L826"/>
    <mergeCell ref="H829:H830"/>
    <mergeCell ref="I829:I830"/>
    <mergeCell ref="J829:J830"/>
    <mergeCell ref="K829:K830"/>
    <mergeCell ref="L829:L830"/>
    <mergeCell ref="M829:M830"/>
    <mergeCell ref="J827:J828"/>
    <mergeCell ref="K827:K828"/>
    <mergeCell ref="L827:L828"/>
    <mergeCell ref="M827:M828"/>
    <mergeCell ref="A829:A830"/>
    <mergeCell ref="B829:B830"/>
    <mergeCell ref="C829:C830"/>
    <mergeCell ref="D829:D830"/>
    <mergeCell ref="E829:E830"/>
    <mergeCell ref="F829:F830"/>
    <mergeCell ref="M825:M826"/>
    <mergeCell ref="M835:M836"/>
    <mergeCell ref="A835:A836"/>
    <mergeCell ref="B835:B836"/>
    <mergeCell ref="C835:C836"/>
    <mergeCell ref="D835:D836"/>
    <mergeCell ref="E835:E836"/>
    <mergeCell ref="F835:F836"/>
    <mergeCell ref="H833:H834"/>
    <mergeCell ref="I833:I834"/>
    <mergeCell ref="J833:J834"/>
    <mergeCell ref="K833:K834"/>
    <mergeCell ref="L833:L834"/>
    <mergeCell ref="M833:M834"/>
    <mergeCell ref="H831:H832"/>
    <mergeCell ref="I831:I832"/>
    <mergeCell ref="J831:J832"/>
    <mergeCell ref="K831:K832"/>
    <mergeCell ref="L831:L832"/>
    <mergeCell ref="M831:M832"/>
    <mergeCell ref="A831:A832"/>
    <mergeCell ref="B831:B832"/>
    <mergeCell ref="C831:C832"/>
    <mergeCell ref="D831:D832"/>
    <mergeCell ref="E831:E832"/>
    <mergeCell ref="F831:F832"/>
    <mergeCell ref="H837:L837"/>
    <mergeCell ref="H838:L838"/>
    <mergeCell ref="A839:E839"/>
    <mergeCell ref="H839:L839"/>
    <mergeCell ref="A840:E840"/>
    <mergeCell ref="A841:E841"/>
    <mergeCell ref="A837:A838"/>
    <mergeCell ref="B837:B838"/>
    <mergeCell ref="C837:C838"/>
    <mergeCell ref="D837:D838"/>
    <mergeCell ref="E837:E838"/>
    <mergeCell ref="F837:F838"/>
    <mergeCell ref="H835:H836"/>
    <mergeCell ref="I835:I836"/>
    <mergeCell ref="J835:J836"/>
    <mergeCell ref="K835:K836"/>
    <mergeCell ref="L835:L836"/>
    <mergeCell ref="N862:O862"/>
    <mergeCell ref="A864:A865"/>
    <mergeCell ref="B864:B865"/>
    <mergeCell ref="C864:C865"/>
    <mergeCell ref="D864:D865"/>
    <mergeCell ref="E864:E865"/>
    <mergeCell ref="F864:F865"/>
    <mergeCell ref="H864:H865"/>
    <mergeCell ref="I864:I865"/>
    <mergeCell ref="A862:G862"/>
    <mergeCell ref="H862:H863"/>
    <mergeCell ref="I862:I863"/>
    <mergeCell ref="J862:J863"/>
    <mergeCell ref="K862:K863"/>
    <mergeCell ref="L862:L863"/>
    <mergeCell ref="H845:K845"/>
    <mergeCell ref="A847:D847"/>
    <mergeCell ref="M847:O847"/>
    <mergeCell ref="M851:O851"/>
    <mergeCell ref="M852:O852"/>
    <mergeCell ref="H860:O860"/>
    <mergeCell ref="H866:H867"/>
    <mergeCell ref="I866:I867"/>
    <mergeCell ref="J866:J867"/>
    <mergeCell ref="K866:K867"/>
    <mergeCell ref="L866:L867"/>
    <mergeCell ref="M866:M867"/>
    <mergeCell ref="J864:J865"/>
    <mergeCell ref="K864:K865"/>
    <mergeCell ref="L864:L865"/>
    <mergeCell ref="M864:M865"/>
    <mergeCell ref="A866:A867"/>
    <mergeCell ref="B866:B867"/>
    <mergeCell ref="C866:C867"/>
    <mergeCell ref="D866:D867"/>
    <mergeCell ref="E866:E867"/>
    <mergeCell ref="F866:F867"/>
    <mergeCell ref="M862:M863"/>
    <mergeCell ref="H870:H871"/>
    <mergeCell ref="I870:I871"/>
    <mergeCell ref="J870:J871"/>
    <mergeCell ref="K870:K871"/>
    <mergeCell ref="L870:L871"/>
    <mergeCell ref="M870:M871"/>
    <mergeCell ref="A870:A871"/>
    <mergeCell ref="B870:B871"/>
    <mergeCell ref="C870:C871"/>
    <mergeCell ref="D870:D871"/>
    <mergeCell ref="E870:E871"/>
    <mergeCell ref="F870:F871"/>
    <mergeCell ref="H868:H869"/>
    <mergeCell ref="I868:I869"/>
    <mergeCell ref="J868:J869"/>
    <mergeCell ref="K868:K869"/>
    <mergeCell ref="L868:L869"/>
    <mergeCell ref="M868:M869"/>
    <mergeCell ref="A868:A869"/>
    <mergeCell ref="B868:B869"/>
    <mergeCell ref="C868:C869"/>
    <mergeCell ref="D868:D869"/>
    <mergeCell ref="E868:E869"/>
    <mergeCell ref="F868:F869"/>
    <mergeCell ref="H874:H875"/>
    <mergeCell ref="I874:I875"/>
    <mergeCell ref="J874:J875"/>
    <mergeCell ref="K874:K875"/>
    <mergeCell ref="L874:L875"/>
    <mergeCell ref="M874:M875"/>
    <mergeCell ref="A874:A875"/>
    <mergeCell ref="B874:B875"/>
    <mergeCell ref="C874:C875"/>
    <mergeCell ref="D874:D875"/>
    <mergeCell ref="E874:E875"/>
    <mergeCell ref="F874:F875"/>
    <mergeCell ref="H872:H873"/>
    <mergeCell ref="I872:I873"/>
    <mergeCell ref="J872:J873"/>
    <mergeCell ref="K872:K873"/>
    <mergeCell ref="L872:L873"/>
    <mergeCell ref="M872:M873"/>
    <mergeCell ref="H884:K884"/>
    <mergeCell ref="M884:O884"/>
    <mergeCell ref="A886:D886"/>
    <mergeCell ref="M886:O886"/>
    <mergeCell ref="M887:O887"/>
    <mergeCell ref="M888:O888"/>
    <mergeCell ref="H876:L876"/>
    <mergeCell ref="H877:L877"/>
    <mergeCell ref="A878:E878"/>
    <mergeCell ref="H878:L878"/>
    <mergeCell ref="A879:E879"/>
    <mergeCell ref="A880:E880"/>
    <mergeCell ref="A876:A877"/>
    <mergeCell ref="B876:B877"/>
    <mergeCell ref="C876:C877"/>
    <mergeCell ref="D876:D877"/>
    <mergeCell ref="E876:E877"/>
    <mergeCell ref="F876:F877"/>
    <mergeCell ref="H903:H904"/>
    <mergeCell ref="I903:I904"/>
    <mergeCell ref="J903:J904"/>
    <mergeCell ref="K903:K904"/>
    <mergeCell ref="L903:L904"/>
    <mergeCell ref="M903:M904"/>
    <mergeCell ref="A903:A904"/>
    <mergeCell ref="B903:B904"/>
    <mergeCell ref="C903:C904"/>
    <mergeCell ref="D903:D904"/>
    <mergeCell ref="E903:E904"/>
    <mergeCell ref="F903:F904"/>
    <mergeCell ref="M889:O889"/>
    <mergeCell ref="H899:O899"/>
    <mergeCell ref="A901:G901"/>
    <mergeCell ref="H901:H902"/>
    <mergeCell ref="I901:I902"/>
    <mergeCell ref="J901:J902"/>
    <mergeCell ref="K901:K902"/>
    <mergeCell ref="L901:L902"/>
    <mergeCell ref="M901:M902"/>
    <mergeCell ref="N901:O901"/>
    <mergeCell ref="H907:H908"/>
    <mergeCell ref="I907:I908"/>
    <mergeCell ref="J907:J908"/>
    <mergeCell ref="K907:K908"/>
    <mergeCell ref="L907:L908"/>
    <mergeCell ref="M907:M908"/>
    <mergeCell ref="A907:A908"/>
    <mergeCell ref="B907:B908"/>
    <mergeCell ref="C907:C908"/>
    <mergeCell ref="D907:D908"/>
    <mergeCell ref="E907:E908"/>
    <mergeCell ref="F907:F908"/>
    <mergeCell ref="H905:H906"/>
    <mergeCell ref="I905:I906"/>
    <mergeCell ref="J905:J906"/>
    <mergeCell ref="K905:K906"/>
    <mergeCell ref="L905:L906"/>
    <mergeCell ref="M905:M906"/>
    <mergeCell ref="A905:A906"/>
    <mergeCell ref="B905:B906"/>
    <mergeCell ref="C905:C906"/>
    <mergeCell ref="D905:D906"/>
    <mergeCell ref="E905:E906"/>
    <mergeCell ref="F905:F906"/>
    <mergeCell ref="H911:H912"/>
    <mergeCell ref="I911:I912"/>
    <mergeCell ref="J911:J912"/>
    <mergeCell ref="K911:K912"/>
    <mergeCell ref="L911:L912"/>
    <mergeCell ref="M911:M912"/>
    <mergeCell ref="A911:A912"/>
    <mergeCell ref="B911:B912"/>
    <mergeCell ref="C911:C912"/>
    <mergeCell ref="D911:D912"/>
    <mergeCell ref="E911:E912"/>
    <mergeCell ref="F911:F912"/>
    <mergeCell ref="H909:H910"/>
    <mergeCell ref="I909:I910"/>
    <mergeCell ref="J909:J910"/>
    <mergeCell ref="K909:K910"/>
    <mergeCell ref="L909:L910"/>
    <mergeCell ref="M909:M910"/>
    <mergeCell ref="A909:A910"/>
    <mergeCell ref="B909:B910"/>
    <mergeCell ref="C909:C910"/>
    <mergeCell ref="D909:D910"/>
    <mergeCell ref="E909:E910"/>
    <mergeCell ref="F909:F910"/>
    <mergeCell ref="H921:K921"/>
    <mergeCell ref="M921:O921"/>
    <mergeCell ref="A923:D923"/>
    <mergeCell ref="M926:O926"/>
    <mergeCell ref="H936:O936"/>
    <mergeCell ref="A938:G938"/>
    <mergeCell ref="H938:H939"/>
    <mergeCell ref="I938:I939"/>
    <mergeCell ref="J938:J939"/>
    <mergeCell ref="K938:K939"/>
    <mergeCell ref="H913:L913"/>
    <mergeCell ref="H914:L914"/>
    <mergeCell ref="A915:E915"/>
    <mergeCell ref="H915:L915"/>
    <mergeCell ref="A916:E916"/>
    <mergeCell ref="A917:E917"/>
    <mergeCell ref="A913:A914"/>
    <mergeCell ref="B913:B914"/>
    <mergeCell ref="C913:C914"/>
    <mergeCell ref="D913:D914"/>
    <mergeCell ref="E913:E914"/>
    <mergeCell ref="F913:F914"/>
    <mergeCell ref="I940:I941"/>
    <mergeCell ref="J940:J941"/>
    <mergeCell ref="K940:K941"/>
    <mergeCell ref="L940:L941"/>
    <mergeCell ref="M940:M941"/>
    <mergeCell ref="A942:A943"/>
    <mergeCell ref="B942:B943"/>
    <mergeCell ref="C942:C943"/>
    <mergeCell ref="D942:D943"/>
    <mergeCell ref="E942:E943"/>
    <mergeCell ref="L938:L939"/>
    <mergeCell ref="M938:M939"/>
    <mergeCell ref="N938:O938"/>
    <mergeCell ref="A940:A941"/>
    <mergeCell ref="B940:B941"/>
    <mergeCell ref="C940:C941"/>
    <mergeCell ref="D940:D941"/>
    <mergeCell ref="E940:E941"/>
    <mergeCell ref="F940:F941"/>
    <mergeCell ref="H940:H941"/>
    <mergeCell ref="K944:K945"/>
    <mergeCell ref="L944:L945"/>
    <mergeCell ref="M944:M945"/>
    <mergeCell ref="H946:H947"/>
    <mergeCell ref="I946:I947"/>
    <mergeCell ref="J946:J947"/>
    <mergeCell ref="K946:K947"/>
    <mergeCell ref="L946:L947"/>
    <mergeCell ref="M946:M947"/>
    <mergeCell ref="M942:M943"/>
    <mergeCell ref="A944:A945"/>
    <mergeCell ref="B944:B945"/>
    <mergeCell ref="C944:C945"/>
    <mergeCell ref="D944:D945"/>
    <mergeCell ref="E944:E945"/>
    <mergeCell ref="F944:F945"/>
    <mergeCell ref="H944:H945"/>
    <mergeCell ref="I944:I945"/>
    <mergeCell ref="J944:J945"/>
    <mergeCell ref="F942:F943"/>
    <mergeCell ref="H942:H943"/>
    <mergeCell ref="I942:I943"/>
    <mergeCell ref="J942:J943"/>
    <mergeCell ref="K942:K943"/>
    <mergeCell ref="L942:L943"/>
    <mergeCell ref="H950:H951"/>
    <mergeCell ref="I950:I951"/>
    <mergeCell ref="J950:J951"/>
    <mergeCell ref="K950:K951"/>
    <mergeCell ref="L950:L951"/>
    <mergeCell ref="M950:M951"/>
    <mergeCell ref="A950:A951"/>
    <mergeCell ref="B950:B951"/>
    <mergeCell ref="C950:C951"/>
    <mergeCell ref="D950:D951"/>
    <mergeCell ref="E950:E951"/>
    <mergeCell ref="F950:F951"/>
    <mergeCell ref="H948:H949"/>
    <mergeCell ref="I948:I949"/>
    <mergeCell ref="J948:J949"/>
    <mergeCell ref="K948:K949"/>
    <mergeCell ref="L948:L949"/>
    <mergeCell ref="M948:M949"/>
    <mergeCell ref="A948:A949"/>
    <mergeCell ref="B948:B949"/>
    <mergeCell ref="C948:C949"/>
    <mergeCell ref="D948:D949"/>
    <mergeCell ref="E948:E949"/>
    <mergeCell ref="F948:F949"/>
    <mergeCell ref="H960:K960"/>
    <mergeCell ref="A962:D962"/>
    <mergeCell ref="M965:O965"/>
    <mergeCell ref="H975:O975"/>
    <mergeCell ref="A977:G977"/>
    <mergeCell ref="H977:H978"/>
    <mergeCell ref="I977:I978"/>
    <mergeCell ref="J977:J978"/>
    <mergeCell ref="K977:K978"/>
    <mergeCell ref="L977:L978"/>
    <mergeCell ref="H952:L952"/>
    <mergeCell ref="H953:L953"/>
    <mergeCell ref="A954:E954"/>
    <mergeCell ref="H954:L954"/>
    <mergeCell ref="A955:E955"/>
    <mergeCell ref="A956:E956"/>
    <mergeCell ref="A952:A953"/>
    <mergeCell ref="B952:B953"/>
    <mergeCell ref="C952:C953"/>
    <mergeCell ref="D952:D953"/>
    <mergeCell ref="E952:E953"/>
    <mergeCell ref="F952:F953"/>
    <mergeCell ref="J979:J980"/>
    <mergeCell ref="K979:K980"/>
    <mergeCell ref="L979:L980"/>
    <mergeCell ref="M979:M980"/>
    <mergeCell ref="A981:A982"/>
    <mergeCell ref="B981:B982"/>
    <mergeCell ref="C981:C982"/>
    <mergeCell ref="D981:D982"/>
    <mergeCell ref="E981:E982"/>
    <mergeCell ref="F981:F982"/>
    <mergeCell ref="M977:M978"/>
    <mergeCell ref="N977:O977"/>
    <mergeCell ref="A979:A980"/>
    <mergeCell ref="B979:B980"/>
    <mergeCell ref="C979:C980"/>
    <mergeCell ref="D979:D980"/>
    <mergeCell ref="E979:E980"/>
    <mergeCell ref="F979:F980"/>
    <mergeCell ref="H979:H980"/>
    <mergeCell ref="I979:I980"/>
    <mergeCell ref="H983:H984"/>
    <mergeCell ref="I983:I984"/>
    <mergeCell ref="J983:J984"/>
    <mergeCell ref="K983:K984"/>
    <mergeCell ref="L983:L984"/>
    <mergeCell ref="M983:M984"/>
    <mergeCell ref="A983:A984"/>
    <mergeCell ref="B983:B984"/>
    <mergeCell ref="C983:C984"/>
    <mergeCell ref="D983:D984"/>
    <mergeCell ref="E983:E984"/>
    <mergeCell ref="F983:F984"/>
    <mergeCell ref="H981:H982"/>
    <mergeCell ref="I981:I982"/>
    <mergeCell ref="J981:J982"/>
    <mergeCell ref="K981:K982"/>
    <mergeCell ref="L981:L982"/>
    <mergeCell ref="M981:M982"/>
    <mergeCell ref="M989:M990"/>
    <mergeCell ref="A989:A990"/>
    <mergeCell ref="B989:B990"/>
    <mergeCell ref="C989:C990"/>
    <mergeCell ref="D989:D990"/>
    <mergeCell ref="E989:E990"/>
    <mergeCell ref="F989:F990"/>
    <mergeCell ref="H987:H988"/>
    <mergeCell ref="I987:I988"/>
    <mergeCell ref="J987:J988"/>
    <mergeCell ref="K987:K988"/>
    <mergeCell ref="L987:L988"/>
    <mergeCell ref="M987:M988"/>
    <mergeCell ref="H985:H986"/>
    <mergeCell ref="I985:I986"/>
    <mergeCell ref="J985:J986"/>
    <mergeCell ref="K985:K986"/>
    <mergeCell ref="L985:L986"/>
    <mergeCell ref="M985:M986"/>
    <mergeCell ref="H991:L991"/>
    <mergeCell ref="H992:L992"/>
    <mergeCell ref="A993:E993"/>
    <mergeCell ref="H993:L993"/>
    <mergeCell ref="A994:E994"/>
    <mergeCell ref="A995:E995"/>
    <mergeCell ref="A991:A992"/>
    <mergeCell ref="B991:B992"/>
    <mergeCell ref="C991:C992"/>
    <mergeCell ref="D991:D992"/>
    <mergeCell ref="E991:E992"/>
    <mergeCell ref="F991:F992"/>
    <mergeCell ref="H989:H990"/>
    <mergeCell ref="I989:I990"/>
    <mergeCell ref="J989:J990"/>
    <mergeCell ref="K989:K990"/>
    <mergeCell ref="L989:L990"/>
    <mergeCell ref="N1016:O1016"/>
    <mergeCell ref="A1018:A1019"/>
    <mergeCell ref="B1018:B1019"/>
    <mergeCell ref="C1018:C1019"/>
    <mergeCell ref="D1018:D1019"/>
    <mergeCell ref="E1018:E1019"/>
    <mergeCell ref="F1018:F1019"/>
    <mergeCell ref="H1018:H1019"/>
    <mergeCell ref="I1018:I1019"/>
    <mergeCell ref="H999:K999"/>
    <mergeCell ref="A1001:D1001"/>
    <mergeCell ref="M1004:O1004"/>
    <mergeCell ref="H1014:O1014"/>
    <mergeCell ref="A1016:G1016"/>
    <mergeCell ref="H1016:H1017"/>
    <mergeCell ref="I1016:I1017"/>
    <mergeCell ref="J1016:J1017"/>
    <mergeCell ref="K1016:K1017"/>
    <mergeCell ref="L1016:L1017"/>
    <mergeCell ref="H1020:H1021"/>
    <mergeCell ref="I1020:I1021"/>
    <mergeCell ref="J1020:J1021"/>
    <mergeCell ref="K1020:K1021"/>
    <mergeCell ref="L1020:L1021"/>
    <mergeCell ref="M1020:M1021"/>
    <mergeCell ref="J1018:J1019"/>
    <mergeCell ref="K1018:K1019"/>
    <mergeCell ref="L1018:L1019"/>
    <mergeCell ref="M1018:M1019"/>
    <mergeCell ref="A1020:A1021"/>
    <mergeCell ref="B1020:B1021"/>
    <mergeCell ref="C1020:C1021"/>
    <mergeCell ref="D1020:D1021"/>
    <mergeCell ref="E1020:E1021"/>
    <mergeCell ref="F1020:F1021"/>
    <mergeCell ref="M1016:M1017"/>
    <mergeCell ref="M1024:M1025"/>
    <mergeCell ref="A1024:A1025"/>
    <mergeCell ref="B1024:B1025"/>
    <mergeCell ref="C1024:C1025"/>
    <mergeCell ref="D1024:D1025"/>
    <mergeCell ref="E1024:E1025"/>
    <mergeCell ref="F1024:F1025"/>
    <mergeCell ref="H1022:H1023"/>
    <mergeCell ref="I1022:I1023"/>
    <mergeCell ref="J1022:J1023"/>
    <mergeCell ref="K1022:K1023"/>
    <mergeCell ref="L1022:L1023"/>
    <mergeCell ref="M1022:M1023"/>
    <mergeCell ref="A1022:A1023"/>
    <mergeCell ref="B1022:B1023"/>
    <mergeCell ref="C1022:C1023"/>
    <mergeCell ref="D1022:D1023"/>
    <mergeCell ref="E1022:E1023"/>
    <mergeCell ref="F1022:F1023"/>
    <mergeCell ref="H1026:L1026"/>
    <mergeCell ref="H1027:L1027"/>
    <mergeCell ref="A1028:E1028"/>
    <mergeCell ref="H1028:L1028"/>
    <mergeCell ref="A1029:E1029"/>
    <mergeCell ref="A1030:E1030"/>
    <mergeCell ref="A1026:A1027"/>
    <mergeCell ref="B1026:B1027"/>
    <mergeCell ref="C1026:C1027"/>
    <mergeCell ref="D1026:D1027"/>
    <mergeCell ref="E1026:E1027"/>
    <mergeCell ref="F1026:F1027"/>
    <mergeCell ref="H1024:H1025"/>
    <mergeCell ref="I1024:I1025"/>
    <mergeCell ref="J1024:J1025"/>
    <mergeCell ref="K1024:K1025"/>
    <mergeCell ref="L1024:L1025"/>
    <mergeCell ref="N1051:O1051"/>
    <mergeCell ref="A1053:A1054"/>
    <mergeCell ref="B1053:B1054"/>
    <mergeCell ref="C1053:C1054"/>
    <mergeCell ref="D1053:D1054"/>
    <mergeCell ref="E1053:E1054"/>
    <mergeCell ref="F1053:F1054"/>
    <mergeCell ref="H1053:H1054"/>
    <mergeCell ref="I1053:I1054"/>
    <mergeCell ref="F1051:F1052"/>
    <mergeCell ref="H1051:H1052"/>
    <mergeCell ref="I1051:I1052"/>
    <mergeCell ref="J1051:J1052"/>
    <mergeCell ref="K1051:K1052"/>
    <mergeCell ref="L1051:L1052"/>
    <mergeCell ref="H1034:K1034"/>
    <mergeCell ref="A1036:D1036"/>
    <mergeCell ref="M1039:O1039"/>
    <mergeCell ref="A1049:G1049"/>
    <mergeCell ref="H1049:O1049"/>
    <mergeCell ref="A1051:A1052"/>
    <mergeCell ref="B1051:B1052"/>
    <mergeCell ref="C1051:C1052"/>
    <mergeCell ref="D1051:D1052"/>
    <mergeCell ref="E1051:E1052"/>
    <mergeCell ref="H1055:H1056"/>
    <mergeCell ref="I1055:I1056"/>
    <mergeCell ref="J1055:J1056"/>
    <mergeCell ref="K1055:K1056"/>
    <mergeCell ref="L1055:L1056"/>
    <mergeCell ref="M1055:M1056"/>
    <mergeCell ref="J1053:J1054"/>
    <mergeCell ref="K1053:K1054"/>
    <mergeCell ref="L1053:L1054"/>
    <mergeCell ref="M1053:M1054"/>
    <mergeCell ref="A1055:A1056"/>
    <mergeCell ref="B1055:B1056"/>
    <mergeCell ref="C1055:C1056"/>
    <mergeCell ref="D1055:D1056"/>
    <mergeCell ref="E1055:E1056"/>
    <mergeCell ref="F1055:F1056"/>
    <mergeCell ref="M1051:M1052"/>
    <mergeCell ref="H1059:H1060"/>
    <mergeCell ref="I1059:I1060"/>
    <mergeCell ref="J1059:J1060"/>
    <mergeCell ref="K1059:K1060"/>
    <mergeCell ref="L1059:L1060"/>
    <mergeCell ref="M1059:M1060"/>
    <mergeCell ref="A1059:A1060"/>
    <mergeCell ref="B1059:B1060"/>
    <mergeCell ref="C1059:C1060"/>
    <mergeCell ref="D1059:D1060"/>
    <mergeCell ref="E1059:E1060"/>
    <mergeCell ref="F1059:F1060"/>
    <mergeCell ref="H1057:H1058"/>
    <mergeCell ref="I1057:I1058"/>
    <mergeCell ref="J1057:J1058"/>
    <mergeCell ref="K1057:K1058"/>
    <mergeCell ref="L1057:L1058"/>
    <mergeCell ref="M1057:M1058"/>
    <mergeCell ref="A1063:E1063"/>
    <mergeCell ref="H1063:L1063"/>
    <mergeCell ref="A1064:E1064"/>
    <mergeCell ref="H1064:L1064"/>
    <mergeCell ref="A1065:E1065"/>
    <mergeCell ref="H1065:L1065"/>
    <mergeCell ref="H1061:H1062"/>
    <mergeCell ref="I1061:I1062"/>
    <mergeCell ref="J1061:J1062"/>
    <mergeCell ref="K1061:K1062"/>
    <mergeCell ref="L1061:L1062"/>
    <mergeCell ref="M1061:M1062"/>
    <mergeCell ref="A1061:A1062"/>
    <mergeCell ref="B1061:B1062"/>
    <mergeCell ref="C1061:C1062"/>
    <mergeCell ref="D1061:D1062"/>
    <mergeCell ref="E1061:E1062"/>
    <mergeCell ref="F1061:F1062"/>
    <mergeCell ref="N1088:O1088"/>
    <mergeCell ref="A1090:A1091"/>
    <mergeCell ref="B1090:B1091"/>
    <mergeCell ref="C1090:C1091"/>
    <mergeCell ref="D1090:D1091"/>
    <mergeCell ref="E1090:E1091"/>
    <mergeCell ref="F1090:F1091"/>
    <mergeCell ref="H1090:H1091"/>
    <mergeCell ref="I1090:I1091"/>
    <mergeCell ref="F1088:F1089"/>
    <mergeCell ref="H1088:H1089"/>
    <mergeCell ref="I1088:I1089"/>
    <mergeCell ref="J1088:J1089"/>
    <mergeCell ref="K1088:K1089"/>
    <mergeCell ref="L1088:L1089"/>
    <mergeCell ref="A1071:D1071"/>
    <mergeCell ref="H1071:K1071"/>
    <mergeCell ref="M1076:O1076"/>
    <mergeCell ref="A1086:G1086"/>
    <mergeCell ref="H1086:O1086"/>
    <mergeCell ref="A1088:A1089"/>
    <mergeCell ref="B1088:B1089"/>
    <mergeCell ref="C1088:C1089"/>
    <mergeCell ref="D1088:D1089"/>
    <mergeCell ref="E1088:E1089"/>
    <mergeCell ref="H1092:H1093"/>
    <mergeCell ref="I1092:I1093"/>
    <mergeCell ref="J1092:J1093"/>
    <mergeCell ref="K1092:K1093"/>
    <mergeCell ref="L1092:L1093"/>
    <mergeCell ref="M1092:M1093"/>
    <mergeCell ref="J1090:J1091"/>
    <mergeCell ref="K1090:K1091"/>
    <mergeCell ref="L1090:L1091"/>
    <mergeCell ref="M1090:M1091"/>
    <mergeCell ref="A1092:A1093"/>
    <mergeCell ref="B1092:B1093"/>
    <mergeCell ref="C1092:C1093"/>
    <mergeCell ref="D1092:D1093"/>
    <mergeCell ref="E1092:E1093"/>
    <mergeCell ref="F1092:F1093"/>
    <mergeCell ref="M1088:M1089"/>
    <mergeCell ref="H1096:H1097"/>
    <mergeCell ref="I1096:I1097"/>
    <mergeCell ref="J1096:J1097"/>
    <mergeCell ref="K1096:K1097"/>
    <mergeCell ref="L1096:L1097"/>
    <mergeCell ref="M1096:M1097"/>
    <mergeCell ref="H1094:H1095"/>
    <mergeCell ref="I1094:I1095"/>
    <mergeCell ref="J1094:J1095"/>
    <mergeCell ref="K1094:K1095"/>
    <mergeCell ref="L1094:L1095"/>
    <mergeCell ref="M1094:M1095"/>
    <mergeCell ref="A1094:A1095"/>
    <mergeCell ref="B1094:B1095"/>
    <mergeCell ref="C1094:C1095"/>
    <mergeCell ref="D1094:D1095"/>
    <mergeCell ref="E1094:E1095"/>
    <mergeCell ref="F1094:F1095"/>
    <mergeCell ref="A1108:D1108"/>
    <mergeCell ref="H1108:K1108"/>
    <mergeCell ref="M1108:O1108"/>
    <mergeCell ref="M1113:O1113"/>
    <mergeCell ref="A1123:G1123"/>
    <mergeCell ref="H1123:O1123"/>
    <mergeCell ref="A1100:E1100"/>
    <mergeCell ref="H1100:L1100"/>
    <mergeCell ref="A1101:E1101"/>
    <mergeCell ref="H1101:L1101"/>
    <mergeCell ref="A1102:E1102"/>
    <mergeCell ref="H1102:L1102"/>
    <mergeCell ref="H1098:H1099"/>
    <mergeCell ref="I1098:I1099"/>
    <mergeCell ref="J1098:J1099"/>
    <mergeCell ref="K1098:K1099"/>
    <mergeCell ref="L1098:L1099"/>
    <mergeCell ref="M1098:M1099"/>
    <mergeCell ref="K1127:K1128"/>
    <mergeCell ref="L1127:L1128"/>
    <mergeCell ref="M1127:M1128"/>
    <mergeCell ref="A1129:A1130"/>
    <mergeCell ref="B1129:B1130"/>
    <mergeCell ref="C1129:C1130"/>
    <mergeCell ref="D1129:D1130"/>
    <mergeCell ref="E1129:E1130"/>
    <mergeCell ref="F1129:F1130"/>
    <mergeCell ref="H1129:H1130"/>
    <mergeCell ref="N1125:O1125"/>
    <mergeCell ref="A1127:A1128"/>
    <mergeCell ref="B1127:B1128"/>
    <mergeCell ref="C1127:C1128"/>
    <mergeCell ref="D1127:D1128"/>
    <mergeCell ref="E1127:E1128"/>
    <mergeCell ref="F1127:F1128"/>
    <mergeCell ref="H1127:H1128"/>
    <mergeCell ref="I1127:I1128"/>
    <mergeCell ref="J1127:J1128"/>
    <mergeCell ref="H1125:H1126"/>
    <mergeCell ref="I1125:I1126"/>
    <mergeCell ref="J1125:J1126"/>
    <mergeCell ref="K1125:K1126"/>
    <mergeCell ref="L1125:L1126"/>
    <mergeCell ref="M1125:M1126"/>
    <mergeCell ref="A1125:A1126"/>
    <mergeCell ref="B1125:B1126"/>
    <mergeCell ref="C1125:C1126"/>
    <mergeCell ref="D1125:D1126"/>
    <mergeCell ref="E1125:E1126"/>
    <mergeCell ref="F1125:F1126"/>
    <mergeCell ref="M1131:M1132"/>
    <mergeCell ref="A1133:A1134"/>
    <mergeCell ref="B1133:B1134"/>
    <mergeCell ref="C1133:C1134"/>
    <mergeCell ref="D1133:D1134"/>
    <mergeCell ref="E1133:E1134"/>
    <mergeCell ref="F1133:F1134"/>
    <mergeCell ref="H1133:H1134"/>
    <mergeCell ref="I1133:I1134"/>
    <mergeCell ref="J1133:J1134"/>
    <mergeCell ref="F1131:F1132"/>
    <mergeCell ref="H1131:H1132"/>
    <mergeCell ref="I1131:I1132"/>
    <mergeCell ref="J1131:J1132"/>
    <mergeCell ref="K1131:K1132"/>
    <mergeCell ref="L1131:L1132"/>
    <mergeCell ref="I1129:I1130"/>
    <mergeCell ref="J1129:J1130"/>
    <mergeCell ref="K1129:K1130"/>
    <mergeCell ref="L1129:L1130"/>
    <mergeCell ref="M1129:M1130"/>
    <mergeCell ref="A1131:A1132"/>
    <mergeCell ref="B1131:B1132"/>
    <mergeCell ref="C1131:C1132"/>
    <mergeCell ref="D1131:D1132"/>
    <mergeCell ref="E1131:E1132"/>
    <mergeCell ref="A1138:E1138"/>
    <mergeCell ref="H1138:L1138"/>
    <mergeCell ref="A1139:E1139"/>
    <mergeCell ref="H1139:L1139"/>
    <mergeCell ref="A1145:D1145"/>
    <mergeCell ref="H1145:K1145"/>
    <mergeCell ref="I1135:I1136"/>
    <mergeCell ref="J1135:J1136"/>
    <mergeCell ref="K1135:K1136"/>
    <mergeCell ref="L1135:L1136"/>
    <mergeCell ref="M1135:M1136"/>
    <mergeCell ref="A1137:E1137"/>
    <mergeCell ref="H1137:L1137"/>
    <mergeCell ref="K1133:K1134"/>
    <mergeCell ref="L1133:L1134"/>
    <mergeCell ref="M1133:M1134"/>
    <mergeCell ref="A1135:A1136"/>
    <mergeCell ref="B1135:B1136"/>
    <mergeCell ref="C1135:C1136"/>
    <mergeCell ref="D1135:D1136"/>
    <mergeCell ref="E1135:E1136"/>
    <mergeCell ref="F1135:F1136"/>
    <mergeCell ref="H1135:H1136"/>
    <mergeCell ref="N1162:O1162"/>
    <mergeCell ref="A1164:A1165"/>
    <mergeCell ref="B1164:B1165"/>
    <mergeCell ref="C1164:C1165"/>
    <mergeCell ref="D1164:D1165"/>
    <mergeCell ref="E1164:E1165"/>
    <mergeCell ref="F1164:F1165"/>
    <mergeCell ref="H1164:H1165"/>
    <mergeCell ref="I1164:I1165"/>
    <mergeCell ref="J1164:J1165"/>
    <mergeCell ref="H1162:H1163"/>
    <mergeCell ref="I1162:I1163"/>
    <mergeCell ref="J1162:J1163"/>
    <mergeCell ref="K1162:K1163"/>
    <mergeCell ref="L1162:L1163"/>
    <mergeCell ref="M1162:M1163"/>
    <mergeCell ref="M1145:O1145"/>
    <mergeCell ref="M1149:O1149"/>
    <mergeCell ref="A1160:G1160"/>
    <mergeCell ref="H1160:O1160"/>
    <mergeCell ref="A1162:A1163"/>
    <mergeCell ref="B1162:B1163"/>
    <mergeCell ref="C1162:C1163"/>
    <mergeCell ref="D1162:D1163"/>
    <mergeCell ref="E1162:E1163"/>
    <mergeCell ref="F1162:F1163"/>
    <mergeCell ref="I1166:I1167"/>
    <mergeCell ref="J1166:J1167"/>
    <mergeCell ref="K1166:K1167"/>
    <mergeCell ref="L1166:L1167"/>
    <mergeCell ref="M1166:M1167"/>
    <mergeCell ref="A1168:A1169"/>
    <mergeCell ref="B1168:B1169"/>
    <mergeCell ref="C1168:C1169"/>
    <mergeCell ref="D1168:D1169"/>
    <mergeCell ref="E1168:E1169"/>
    <mergeCell ref="K1164:K1165"/>
    <mergeCell ref="L1164:L1165"/>
    <mergeCell ref="M1164:M1165"/>
    <mergeCell ref="A1166:A1167"/>
    <mergeCell ref="B1166:B1167"/>
    <mergeCell ref="C1166:C1167"/>
    <mergeCell ref="D1166:D1167"/>
    <mergeCell ref="E1166:E1167"/>
    <mergeCell ref="F1166:F1167"/>
    <mergeCell ref="H1166:H1167"/>
    <mergeCell ref="K1170:K1171"/>
    <mergeCell ref="L1170:L1171"/>
    <mergeCell ref="M1170:M1171"/>
    <mergeCell ref="A1172:A1173"/>
    <mergeCell ref="B1172:B1173"/>
    <mergeCell ref="C1172:C1173"/>
    <mergeCell ref="D1172:D1173"/>
    <mergeCell ref="E1172:E1173"/>
    <mergeCell ref="F1172:F1173"/>
    <mergeCell ref="H1172:H1173"/>
    <mergeCell ref="M1168:M1169"/>
    <mergeCell ref="A1170:A1171"/>
    <mergeCell ref="B1170:B1171"/>
    <mergeCell ref="C1170:C1171"/>
    <mergeCell ref="D1170:D1171"/>
    <mergeCell ref="E1170:E1171"/>
    <mergeCell ref="F1170:F1171"/>
    <mergeCell ref="H1170:H1171"/>
    <mergeCell ref="I1170:I1171"/>
    <mergeCell ref="J1170:J1171"/>
    <mergeCell ref="F1168:F1169"/>
    <mergeCell ref="H1168:H1169"/>
    <mergeCell ref="I1168:I1169"/>
    <mergeCell ref="J1168:J1169"/>
    <mergeCell ref="K1168:K1169"/>
    <mergeCell ref="L1168:L1169"/>
    <mergeCell ref="M1182:O1182"/>
    <mergeCell ref="M1186:O1186"/>
    <mergeCell ref="A1197:G1197"/>
    <mergeCell ref="H1197:O1197"/>
    <mergeCell ref="A1199:A1200"/>
    <mergeCell ref="B1199:B1200"/>
    <mergeCell ref="C1199:C1200"/>
    <mergeCell ref="D1199:D1200"/>
    <mergeCell ref="E1199:E1200"/>
    <mergeCell ref="F1199:F1200"/>
    <mergeCell ref="A1175:E1175"/>
    <mergeCell ref="H1175:L1175"/>
    <mergeCell ref="A1176:E1176"/>
    <mergeCell ref="H1176:L1176"/>
    <mergeCell ref="A1182:D1182"/>
    <mergeCell ref="H1182:K1182"/>
    <mergeCell ref="I1172:I1173"/>
    <mergeCell ref="J1172:J1173"/>
    <mergeCell ref="K1172:K1173"/>
    <mergeCell ref="L1172:L1173"/>
    <mergeCell ref="M1172:M1173"/>
    <mergeCell ref="A1174:E1174"/>
    <mergeCell ref="H1174:L1174"/>
    <mergeCell ref="A1205:A1206"/>
    <mergeCell ref="B1205:B1206"/>
    <mergeCell ref="C1205:C1206"/>
    <mergeCell ref="D1205:D1206"/>
    <mergeCell ref="E1205:E1206"/>
    <mergeCell ref="K1201:K1202"/>
    <mergeCell ref="L1201:L1202"/>
    <mergeCell ref="M1201:M1202"/>
    <mergeCell ref="A1203:A1204"/>
    <mergeCell ref="B1203:B1204"/>
    <mergeCell ref="C1203:C1204"/>
    <mergeCell ref="D1203:D1204"/>
    <mergeCell ref="E1203:E1204"/>
    <mergeCell ref="F1203:F1204"/>
    <mergeCell ref="H1203:H1204"/>
    <mergeCell ref="N1199:O1199"/>
    <mergeCell ref="A1201:A1202"/>
    <mergeCell ref="B1201:B1202"/>
    <mergeCell ref="C1201:C1202"/>
    <mergeCell ref="D1201:D1202"/>
    <mergeCell ref="E1201:E1202"/>
    <mergeCell ref="F1201:F1202"/>
    <mergeCell ref="H1201:H1202"/>
    <mergeCell ref="I1201:I1202"/>
    <mergeCell ref="J1201:J1202"/>
    <mergeCell ref="H1199:H1200"/>
    <mergeCell ref="I1199:I1200"/>
    <mergeCell ref="J1199:J1200"/>
    <mergeCell ref="K1199:K1200"/>
    <mergeCell ref="L1199:L1200"/>
    <mergeCell ref="M1199:M1200"/>
    <mergeCell ref="M1205:M1206"/>
    <mergeCell ref="H1207:H1208"/>
    <mergeCell ref="I1207:I1208"/>
    <mergeCell ref="J1207:J1208"/>
    <mergeCell ref="K1207:K1208"/>
    <mergeCell ref="L1207:L1208"/>
    <mergeCell ref="M1207:M1208"/>
    <mergeCell ref="F1205:F1206"/>
    <mergeCell ref="H1205:H1206"/>
    <mergeCell ref="I1205:I1206"/>
    <mergeCell ref="J1205:J1206"/>
    <mergeCell ref="K1205:K1206"/>
    <mergeCell ref="L1205:L1206"/>
    <mergeCell ref="I1203:I1204"/>
    <mergeCell ref="J1203:J1204"/>
    <mergeCell ref="K1203:K1204"/>
    <mergeCell ref="L1203:L1204"/>
    <mergeCell ref="M1203:M1204"/>
    <mergeCell ref="A1219:D1219"/>
    <mergeCell ref="H1219:K1219"/>
    <mergeCell ref="M1219:O1219"/>
    <mergeCell ref="M1224:O1224"/>
    <mergeCell ref="A1234:G1234"/>
    <mergeCell ref="H1234:O1234"/>
    <mergeCell ref="A1211:E1211"/>
    <mergeCell ref="H1211:L1211"/>
    <mergeCell ref="A1212:E1212"/>
    <mergeCell ref="H1212:L1212"/>
    <mergeCell ref="A1213:E1213"/>
    <mergeCell ref="H1213:L1213"/>
    <mergeCell ref="H1209:H1210"/>
    <mergeCell ref="I1209:I1210"/>
    <mergeCell ref="J1209:J1210"/>
    <mergeCell ref="K1209:K1210"/>
    <mergeCell ref="L1209:L1210"/>
    <mergeCell ref="M1209:M1210"/>
    <mergeCell ref="A1209:A1210"/>
    <mergeCell ref="B1209:B1210"/>
    <mergeCell ref="C1209:C1210"/>
    <mergeCell ref="D1209:D1210"/>
    <mergeCell ref="E1209:E1210"/>
    <mergeCell ref="F1209:F1210"/>
    <mergeCell ref="K1238:K1239"/>
    <mergeCell ref="L1238:L1239"/>
    <mergeCell ref="M1238:M1239"/>
    <mergeCell ref="A1240:A1241"/>
    <mergeCell ref="B1240:B1241"/>
    <mergeCell ref="C1240:C1241"/>
    <mergeCell ref="D1240:D1241"/>
    <mergeCell ref="E1240:E1241"/>
    <mergeCell ref="F1240:F1241"/>
    <mergeCell ref="H1240:H1241"/>
    <mergeCell ref="N1236:O1236"/>
    <mergeCell ref="A1238:A1239"/>
    <mergeCell ref="B1238:B1239"/>
    <mergeCell ref="C1238:C1239"/>
    <mergeCell ref="D1238:D1239"/>
    <mergeCell ref="E1238:E1239"/>
    <mergeCell ref="F1238:F1239"/>
    <mergeCell ref="H1238:H1239"/>
    <mergeCell ref="I1238:I1239"/>
    <mergeCell ref="J1238:J1239"/>
    <mergeCell ref="H1236:H1237"/>
    <mergeCell ref="I1236:I1237"/>
    <mergeCell ref="J1236:J1237"/>
    <mergeCell ref="K1236:K1237"/>
    <mergeCell ref="L1236:L1237"/>
    <mergeCell ref="M1236:M1237"/>
    <mergeCell ref="A1236:A1237"/>
    <mergeCell ref="B1236:B1237"/>
    <mergeCell ref="C1236:C1237"/>
    <mergeCell ref="D1236:D1237"/>
    <mergeCell ref="E1236:E1237"/>
    <mergeCell ref="F1236:F1237"/>
    <mergeCell ref="M1242:M1243"/>
    <mergeCell ref="A1244:A1245"/>
    <mergeCell ref="B1244:B1245"/>
    <mergeCell ref="C1244:C1245"/>
    <mergeCell ref="D1244:D1245"/>
    <mergeCell ref="E1244:E1245"/>
    <mergeCell ref="F1244:F1245"/>
    <mergeCell ref="H1244:H1245"/>
    <mergeCell ref="I1244:I1245"/>
    <mergeCell ref="J1244:J1245"/>
    <mergeCell ref="F1242:F1243"/>
    <mergeCell ref="H1242:H1243"/>
    <mergeCell ref="I1242:I1243"/>
    <mergeCell ref="J1242:J1243"/>
    <mergeCell ref="K1242:K1243"/>
    <mergeCell ref="L1242:L1243"/>
    <mergeCell ref="I1240:I1241"/>
    <mergeCell ref="J1240:J1241"/>
    <mergeCell ref="K1240:K1241"/>
    <mergeCell ref="L1240:L1241"/>
    <mergeCell ref="M1240:M1241"/>
    <mergeCell ref="A1242:A1243"/>
    <mergeCell ref="B1242:B1243"/>
    <mergeCell ref="C1242:C1243"/>
    <mergeCell ref="D1242:D1243"/>
    <mergeCell ref="E1242:E1243"/>
    <mergeCell ref="A1249:E1249"/>
    <mergeCell ref="H1249:L1249"/>
    <mergeCell ref="A1250:E1250"/>
    <mergeCell ref="H1250:L1250"/>
    <mergeCell ref="A1256:D1256"/>
    <mergeCell ref="H1256:K1256"/>
    <mergeCell ref="I1246:I1247"/>
    <mergeCell ref="J1246:J1247"/>
    <mergeCell ref="K1246:K1247"/>
    <mergeCell ref="L1246:L1247"/>
    <mergeCell ref="M1246:M1247"/>
    <mergeCell ref="A1248:E1248"/>
    <mergeCell ref="H1248:L1248"/>
    <mergeCell ref="K1244:K1245"/>
    <mergeCell ref="L1244:L1245"/>
    <mergeCell ref="M1244:M1245"/>
    <mergeCell ref="A1246:A1247"/>
    <mergeCell ref="B1246:B1247"/>
    <mergeCell ref="C1246:C1247"/>
    <mergeCell ref="D1246:D1247"/>
    <mergeCell ref="E1246:E1247"/>
    <mergeCell ref="F1246:F1247"/>
    <mergeCell ref="H1246:H1247"/>
    <mergeCell ref="N1273:O1273"/>
    <mergeCell ref="A1275:A1276"/>
    <mergeCell ref="B1275:B1276"/>
    <mergeCell ref="C1275:C1276"/>
    <mergeCell ref="D1275:D1276"/>
    <mergeCell ref="E1275:E1276"/>
    <mergeCell ref="F1275:F1276"/>
    <mergeCell ref="H1275:H1276"/>
    <mergeCell ref="I1275:I1276"/>
    <mergeCell ref="F1273:F1274"/>
    <mergeCell ref="H1273:H1274"/>
    <mergeCell ref="I1273:I1274"/>
    <mergeCell ref="J1273:J1274"/>
    <mergeCell ref="K1273:K1274"/>
    <mergeCell ref="L1273:L1274"/>
    <mergeCell ref="M1256:O1256"/>
    <mergeCell ref="M1260:O1260"/>
    <mergeCell ref="M1261:O1261"/>
    <mergeCell ref="A1271:G1271"/>
    <mergeCell ref="H1271:O1271"/>
    <mergeCell ref="A1273:A1274"/>
    <mergeCell ref="B1273:B1274"/>
    <mergeCell ref="C1273:C1274"/>
    <mergeCell ref="D1273:D1274"/>
    <mergeCell ref="E1273:E1274"/>
    <mergeCell ref="H1277:H1278"/>
    <mergeCell ref="I1277:I1278"/>
    <mergeCell ref="J1277:J1278"/>
    <mergeCell ref="K1277:K1278"/>
    <mergeCell ref="L1277:L1278"/>
    <mergeCell ref="M1277:M1278"/>
    <mergeCell ref="J1275:J1276"/>
    <mergeCell ref="K1275:K1276"/>
    <mergeCell ref="L1275:L1276"/>
    <mergeCell ref="M1275:M1276"/>
    <mergeCell ref="A1277:A1278"/>
    <mergeCell ref="B1277:B1278"/>
    <mergeCell ref="C1277:C1278"/>
    <mergeCell ref="D1277:D1278"/>
    <mergeCell ref="E1277:E1278"/>
    <mergeCell ref="F1277:F1278"/>
    <mergeCell ref="M1273:M1274"/>
    <mergeCell ref="H1281:H1282"/>
    <mergeCell ref="I1281:I1282"/>
    <mergeCell ref="J1281:J1282"/>
    <mergeCell ref="K1281:K1282"/>
    <mergeCell ref="L1281:L1282"/>
    <mergeCell ref="M1281:M1282"/>
    <mergeCell ref="A1281:A1282"/>
    <mergeCell ref="B1281:B1282"/>
    <mergeCell ref="C1281:C1282"/>
    <mergeCell ref="D1281:D1282"/>
    <mergeCell ref="E1281:E1282"/>
    <mergeCell ref="F1281:F1282"/>
    <mergeCell ref="H1279:H1280"/>
    <mergeCell ref="I1279:I1280"/>
    <mergeCell ref="J1279:J1280"/>
    <mergeCell ref="K1279:K1280"/>
    <mergeCell ref="L1279:L1280"/>
    <mergeCell ref="M1279:M1280"/>
    <mergeCell ref="A1279:A1280"/>
    <mergeCell ref="B1279:B1280"/>
    <mergeCell ref="C1279:C1280"/>
    <mergeCell ref="D1279:D1280"/>
    <mergeCell ref="E1279:E1280"/>
    <mergeCell ref="F1279:F1280"/>
    <mergeCell ref="A1285:E1285"/>
    <mergeCell ref="H1285:L1285"/>
    <mergeCell ref="A1286:E1286"/>
    <mergeCell ref="H1286:L1286"/>
    <mergeCell ref="A1287:E1287"/>
    <mergeCell ref="H1287:L1287"/>
    <mergeCell ref="H1283:H1284"/>
    <mergeCell ref="I1283:I1284"/>
    <mergeCell ref="J1283:J1284"/>
    <mergeCell ref="K1283:K1284"/>
    <mergeCell ref="L1283:L1284"/>
    <mergeCell ref="M1283:M1284"/>
    <mergeCell ref="A1283:A1284"/>
    <mergeCell ref="B1283:B1284"/>
    <mergeCell ref="C1283:C1284"/>
    <mergeCell ref="D1283:D1284"/>
    <mergeCell ref="E1283:E1284"/>
    <mergeCell ref="F1283:F1284"/>
    <mergeCell ref="N1310:O1310"/>
    <mergeCell ref="A1312:A1313"/>
    <mergeCell ref="B1312:B1313"/>
    <mergeCell ref="C1312:C1313"/>
    <mergeCell ref="D1312:D1313"/>
    <mergeCell ref="E1312:E1313"/>
    <mergeCell ref="F1312:F1313"/>
    <mergeCell ref="H1312:H1313"/>
    <mergeCell ref="I1312:I1313"/>
    <mergeCell ref="F1310:F1311"/>
    <mergeCell ref="H1310:H1311"/>
    <mergeCell ref="I1310:I1311"/>
    <mergeCell ref="J1310:J1311"/>
    <mergeCell ref="K1310:K1311"/>
    <mergeCell ref="L1310:L1311"/>
    <mergeCell ref="A1293:D1293"/>
    <mergeCell ref="H1293:K1293"/>
    <mergeCell ref="M1298:O1298"/>
    <mergeCell ref="A1308:G1308"/>
    <mergeCell ref="H1308:O1308"/>
    <mergeCell ref="A1310:A1311"/>
    <mergeCell ref="B1310:B1311"/>
    <mergeCell ref="C1310:C1311"/>
    <mergeCell ref="D1310:D1311"/>
    <mergeCell ref="E1310:E1311"/>
    <mergeCell ref="H1314:H1315"/>
    <mergeCell ref="I1314:I1315"/>
    <mergeCell ref="J1314:J1315"/>
    <mergeCell ref="K1314:K1315"/>
    <mergeCell ref="L1314:L1315"/>
    <mergeCell ref="M1314:M1315"/>
    <mergeCell ref="J1312:J1313"/>
    <mergeCell ref="K1312:K1313"/>
    <mergeCell ref="L1312:L1313"/>
    <mergeCell ref="M1312:M1313"/>
    <mergeCell ref="A1314:A1315"/>
    <mergeCell ref="B1314:B1315"/>
    <mergeCell ref="C1314:C1315"/>
    <mergeCell ref="D1314:D1315"/>
    <mergeCell ref="E1314:E1315"/>
    <mergeCell ref="F1314:F1315"/>
    <mergeCell ref="M1310:M1311"/>
    <mergeCell ref="H1318:H1319"/>
    <mergeCell ref="I1318:I1319"/>
    <mergeCell ref="J1318:J1319"/>
    <mergeCell ref="K1318:K1319"/>
    <mergeCell ref="L1318:L1319"/>
    <mergeCell ref="M1318:M1319"/>
    <mergeCell ref="A1318:A1319"/>
    <mergeCell ref="B1318:B1319"/>
    <mergeCell ref="C1318:C1319"/>
    <mergeCell ref="D1318:D1319"/>
    <mergeCell ref="E1318:E1319"/>
    <mergeCell ref="F1318:F1319"/>
    <mergeCell ref="H1316:H1317"/>
    <mergeCell ref="I1316:I1317"/>
    <mergeCell ref="J1316:J1317"/>
    <mergeCell ref="K1316:K1317"/>
    <mergeCell ref="L1316:L1317"/>
    <mergeCell ref="M1316:M1317"/>
    <mergeCell ref="A1316:A1317"/>
    <mergeCell ref="B1316:B1317"/>
    <mergeCell ref="C1316:C1317"/>
    <mergeCell ref="D1316:D1317"/>
    <mergeCell ref="E1316:E1317"/>
    <mergeCell ref="F1316:F1317"/>
    <mergeCell ref="A1330:D1330"/>
    <mergeCell ref="H1330:K1330"/>
    <mergeCell ref="M1335:O1335"/>
    <mergeCell ref="A1345:G1345"/>
    <mergeCell ref="H1345:O1345"/>
    <mergeCell ref="A1347:A1348"/>
    <mergeCell ref="B1347:B1348"/>
    <mergeCell ref="C1347:C1348"/>
    <mergeCell ref="D1347:D1348"/>
    <mergeCell ref="E1347:E1348"/>
    <mergeCell ref="A1322:E1322"/>
    <mergeCell ref="H1322:L1322"/>
    <mergeCell ref="A1323:E1323"/>
    <mergeCell ref="H1323:L1323"/>
    <mergeCell ref="A1324:E1324"/>
    <mergeCell ref="H1324:L1324"/>
    <mergeCell ref="H1320:H1321"/>
    <mergeCell ref="I1320:I1321"/>
    <mergeCell ref="J1320:J1321"/>
    <mergeCell ref="K1320:K1321"/>
    <mergeCell ref="L1320:L1321"/>
    <mergeCell ref="M1320:M1321"/>
    <mergeCell ref="A1320:A1321"/>
    <mergeCell ref="B1320:B1321"/>
    <mergeCell ref="C1320:C1321"/>
    <mergeCell ref="D1320:D1321"/>
    <mergeCell ref="E1320:E1321"/>
    <mergeCell ref="F1320:F1321"/>
    <mergeCell ref="J1349:J1350"/>
    <mergeCell ref="K1349:K1350"/>
    <mergeCell ref="L1349:L1350"/>
    <mergeCell ref="M1349:M1350"/>
    <mergeCell ref="A1351:A1352"/>
    <mergeCell ref="B1351:B1352"/>
    <mergeCell ref="C1351:C1352"/>
    <mergeCell ref="D1351:D1352"/>
    <mergeCell ref="E1351:E1352"/>
    <mergeCell ref="F1351:F1352"/>
    <mergeCell ref="M1347:M1348"/>
    <mergeCell ref="N1347:O1347"/>
    <mergeCell ref="A1349:A1350"/>
    <mergeCell ref="B1349:B1350"/>
    <mergeCell ref="C1349:C1350"/>
    <mergeCell ref="D1349:D1350"/>
    <mergeCell ref="E1349:E1350"/>
    <mergeCell ref="F1349:F1350"/>
    <mergeCell ref="H1349:H1350"/>
    <mergeCell ref="I1349:I1350"/>
    <mergeCell ref="F1347:F1348"/>
    <mergeCell ref="H1347:H1348"/>
    <mergeCell ref="I1347:I1348"/>
    <mergeCell ref="J1347:J1348"/>
    <mergeCell ref="K1347:K1348"/>
    <mergeCell ref="L1347:L1348"/>
    <mergeCell ref="H1353:H1354"/>
    <mergeCell ref="I1353:I1354"/>
    <mergeCell ref="J1353:J1354"/>
    <mergeCell ref="K1353:K1354"/>
    <mergeCell ref="L1353:L1354"/>
    <mergeCell ref="M1353:M1354"/>
    <mergeCell ref="A1353:A1354"/>
    <mergeCell ref="B1353:B1354"/>
    <mergeCell ref="C1353:C1354"/>
    <mergeCell ref="D1353:D1354"/>
    <mergeCell ref="E1353:E1354"/>
    <mergeCell ref="F1353:F1354"/>
    <mergeCell ref="H1351:H1352"/>
    <mergeCell ref="I1351:I1352"/>
    <mergeCell ref="J1351:J1352"/>
    <mergeCell ref="K1351:K1352"/>
    <mergeCell ref="L1351:L1352"/>
    <mergeCell ref="M1351:M1352"/>
    <mergeCell ref="H1357:H1358"/>
    <mergeCell ref="I1357:I1358"/>
    <mergeCell ref="J1357:J1358"/>
    <mergeCell ref="K1357:K1358"/>
    <mergeCell ref="L1357:L1358"/>
    <mergeCell ref="M1357:M1358"/>
    <mergeCell ref="A1357:A1358"/>
    <mergeCell ref="B1357:B1358"/>
    <mergeCell ref="C1357:C1358"/>
    <mergeCell ref="D1357:D1358"/>
    <mergeCell ref="E1357:E1358"/>
    <mergeCell ref="F1357:F1358"/>
    <mergeCell ref="H1355:H1356"/>
    <mergeCell ref="I1355:I1356"/>
    <mergeCell ref="J1355:J1356"/>
    <mergeCell ref="K1355:K1356"/>
    <mergeCell ref="L1355:L1356"/>
    <mergeCell ref="M1355:M1356"/>
    <mergeCell ref="A1355:A1356"/>
    <mergeCell ref="B1355:B1356"/>
    <mergeCell ref="C1355:C1356"/>
    <mergeCell ref="D1355:D1356"/>
    <mergeCell ref="E1355:E1356"/>
    <mergeCell ref="F1355:F1356"/>
    <mergeCell ref="H1367:K1367"/>
    <mergeCell ref="A1369:D1369"/>
    <mergeCell ref="M1372:O1372"/>
    <mergeCell ref="H1382:O1382"/>
    <mergeCell ref="A1384:G1384"/>
    <mergeCell ref="H1384:H1385"/>
    <mergeCell ref="I1384:I1385"/>
    <mergeCell ref="J1384:J1385"/>
    <mergeCell ref="K1384:K1385"/>
    <mergeCell ref="L1384:L1385"/>
    <mergeCell ref="H1359:L1359"/>
    <mergeCell ref="H1360:L1360"/>
    <mergeCell ref="A1361:E1361"/>
    <mergeCell ref="H1361:L1361"/>
    <mergeCell ref="A1362:E1362"/>
    <mergeCell ref="A1363:E1363"/>
    <mergeCell ref="A1359:A1360"/>
    <mergeCell ref="B1359:B1360"/>
    <mergeCell ref="C1359:C1360"/>
    <mergeCell ref="D1359:D1360"/>
    <mergeCell ref="E1359:E1360"/>
    <mergeCell ref="F1359:F1360"/>
    <mergeCell ref="J1386:J1387"/>
    <mergeCell ref="K1386:K1387"/>
    <mergeCell ref="L1386:L1387"/>
    <mergeCell ref="M1386:M1387"/>
    <mergeCell ref="A1388:A1389"/>
    <mergeCell ref="B1388:B1389"/>
    <mergeCell ref="C1388:C1389"/>
    <mergeCell ref="D1388:D1389"/>
    <mergeCell ref="E1388:E1389"/>
    <mergeCell ref="F1388:F1389"/>
    <mergeCell ref="M1384:M1385"/>
    <mergeCell ref="N1384:O1384"/>
    <mergeCell ref="A1386:A1387"/>
    <mergeCell ref="B1386:B1387"/>
    <mergeCell ref="C1386:C1387"/>
    <mergeCell ref="D1386:D1387"/>
    <mergeCell ref="E1386:E1387"/>
    <mergeCell ref="F1386:F1387"/>
    <mergeCell ref="H1386:H1387"/>
    <mergeCell ref="I1386:I1387"/>
    <mergeCell ref="H1390:H1391"/>
    <mergeCell ref="I1390:I1391"/>
    <mergeCell ref="J1390:J1391"/>
    <mergeCell ref="K1390:K1391"/>
    <mergeCell ref="L1390:L1391"/>
    <mergeCell ref="M1390:M1391"/>
    <mergeCell ref="A1390:A1391"/>
    <mergeCell ref="B1390:B1391"/>
    <mergeCell ref="C1390:C1391"/>
    <mergeCell ref="D1390:D1391"/>
    <mergeCell ref="E1390:E1391"/>
    <mergeCell ref="F1390:F1391"/>
    <mergeCell ref="H1388:H1389"/>
    <mergeCell ref="I1388:I1389"/>
    <mergeCell ref="J1388:J1389"/>
    <mergeCell ref="K1388:K1389"/>
    <mergeCell ref="L1388:L1389"/>
    <mergeCell ref="M1388:M1389"/>
    <mergeCell ref="H1394:H1395"/>
    <mergeCell ref="I1394:I1395"/>
    <mergeCell ref="J1394:J1395"/>
    <mergeCell ref="K1394:K1395"/>
    <mergeCell ref="L1394:L1395"/>
    <mergeCell ref="M1394:M1395"/>
    <mergeCell ref="A1394:A1395"/>
    <mergeCell ref="B1394:B1395"/>
    <mergeCell ref="C1394:C1395"/>
    <mergeCell ref="D1394:D1395"/>
    <mergeCell ref="E1394:E1395"/>
    <mergeCell ref="F1394:F1395"/>
    <mergeCell ref="H1392:H1393"/>
    <mergeCell ref="I1392:I1393"/>
    <mergeCell ref="J1392:J1393"/>
    <mergeCell ref="K1392:K1393"/>
    <mergeCell ref="L1392:L1393"/>
    <mergeCell ref="M1392:M1393"/>
    <mergeCell ref="A1392:A1393"/>
    <mergeCell ref="B1392:B1393"/>
    <mergeCell ref="C1392:C1393"/>
    <mergeCell ref="D1392:D1393"/>
    <mergeCell ref="E1392:E1393"/>
    <mergeCell ref="F1392:F1393"/>
    <mergeCell ref="H1404:K1404"/>
    <mergeCell ref="A1406:D1406"/>
    <mergeCell ref="M1409:O1409"/>
    <mergeCell ref="H1419:O1419"/>
    <mergeCell ref="A1421:G1421"/>
    <mergeCell ref="H1421:H1422"/>
    <mergeCell ref="I1421:I1422"/>
    <mergeCell ref="J1421:J1422"/>
    <mergeCell ref="K1421:K1422"/>
    <mergeCell ref="L1421:L1422"/>
    <mergeCell ref="H1396:L1396"/>
    <mergeCell ref="H1397:L1397"/>
    <mergeCell ref="A1398:E1398"/>
    <mergeCell ref="H1398:L1398"/>
    <mergeCell ref="A1399:E1399"/>
    <mergeCell ref="A1400:E1400"/>
    <mergeCell ref="A1396:A1397"/>
    <mergeCell ref="B1396:B1397"/>
    <mergeCell ref="C1396:C1397"/>
    <mergeCell ref="D1396:D1397"/>
    <mergeCell ref="E1396:E1397"/>
    <mergeCell ref="F1396:F1397"/>
    <mergeCell ref="J1423:J1424"/>
    <mergeCell ref="K1423:K1424"/>
    <mergeCell ref="L1423:L1424"/>
    <mergeCell ref="M1423:M1424"/>
    <mergeCell ref="A1425:A1426"/>
    <mergeCell ref="B1425:B1426"/>
    <mergeCell ref="C1425:C1426"/>
    <mergeCell ref="D1425:D1426"/>
    <mergeCell ref="E1425:E1426"/>
    <mergeCell ref="F1425:F1426"/>
    <mergeCell ref="M1421:M1422"/>
    <mergeCell ref="N1421:O1421"/>
    <mergeCell ref="A1423:A1424"/>
    <mergeCell ref="B1423:B1424"/>
    <mergeCell ref="C1423:C1424"/>
    <mergeCell ref="D1423:D1424"/>
    <mergeCell ref="E1423:E1424"/>
    <mergeCell ref="F1423:F1424"/>
    <mergeCell ref="H1423:H1424"/>
    <mergeCell ref="I1423:I1424"/>
    <mergeCell ref="H1427:H1428"/>
    <mergeCell ref="I1427:I1428"/>
    <mergeCell ref="J1427:J1428"/>
    <mergeCell ref="K1427:K1428"/>
    <mergeCell ref="L1427:L1428"/>
    <mergeCell ref="M1427:M1428"/>
    <mergeCell ref="A1427:A1428"/>
    <mergeCell ref="B1427:B1428"/>
    <mergeCell ref="C1427:C1428"/>
    <mergeCell ref="D1427:D1428"/>
    <mergeCell ref="E1427:E1428"/>
    <mergeCell ref="F1427:F1428"/>
    <mergeCell ref="H1425:H1426"/>
    <mergeCell ref="I1425:I1426"/>
    <mergeCell ref="J1425:J1426"/>
    <mergeCell ref="K1425:K1426"/>
    <mergeCell ref="L1425:L1426"/>
    <mergeCell ref="M1425:M1426"/>
    <mergeCell ref="M1431:M1432"/>
    <mergeCell ref="A1431:A1432"/>
    <mergeCell ref="B1431:B1432"/>
    <mergeCell ref="C1431:C1432"/>
    <mergeCell ref="D1431:D1432"/>
    <mergeCell ref="E1431:E1432"/>
    <mergeCell ref="F1431:F1432"/>
    <mergeCell ref="H1429:H1430"/>
    <mergeCell ref="I1429:I1430"/>
    <mergeCell ref="J1429:J1430"/>
    <mergeCell ref="K1429:K1430"/>
    <mergeCell ref="L1429:L1430"/>
    <mergeCell ref="M1429:M1430"/>
    <mergeCell ref="A1429:A1430"/>
    <mergeCell ref="B1429:B1430"/>
    <mergeCell ref="C1429:C1430"/>
    <mergeCell ref="D1429:D1430"/>
    <mergeCell ref="E1429:E1430"/>
    <mergeCell ref="F1429:F1430"/>
    <mergeCell ref="H1433:L1433"/>
    <mergeCell ref="H1434:L1434"/>
    <mergeCell ref="A1435:E1435"/>
    <mergeCell ref="H1435:L1435"/>
    <mergeCell ref="A1436:E1436"/>
    <mergeCell ref="A1437:E1437"/>
    <mergeCell ref="A1433:A1434"/>
    <mergeCell ref="B1433:B1434"/>
    <mergeCell ref="C1433:C1434"/>
    <mergeCell ref="D1433:D1434"/>
    <mergeCell ref="E1433:E1434"/>
    <mergeCell ref="F1433:F1434"/>
    <mergeCell ref="H1431:H1432"/>
    <mergeCell ref="I1431:I1432"/>
    <mergeCell ref="J1431:J1432"/>
    <mergeCell ref="K1431:K1432"/>
    <mergeCell ref="L1431:L1432"/>
    <mergeCell ref="M1458:M1459"/>
    <mergeCell ref="N1458:O1458"/>
    <mergeCell ref="A1459:A1460"/>
    <mergeCell ref="B1459:B1460"/>
    <mergeCell ref="C1459:C1460"/>
    <mergeCell ref="D1459:D1460"/>
    <mergeCell ref="E1459:E1460"/>
    <mergeCell ref="F1459:F1460"/>
    <mergeCell ref="H1460:H1461"/>
    <mergeCell ref="I1460:I1461"/>
    <mergeCell ref="H1441:K1441"/>
    <mergeCell ref="A1443:D1443"/>
    <mergeCell ref="M1446:O1446"/>
    <mergeCell ref="H1456:O1456"/>
    <mergeCell ref="A1457:G1457"/>
    <mergeCell ref="H1458:H1459"/>
    <mergeCell ref="I1458:I1459"/>
    <mergeCell ref="J1458:J1459"/>
    <mergeCell ref="K1458:K1459"/>
    <mergeCell ref="L1458:L1459"/>
    <mergeCell ref="B1463:B1464"/>
    <mergeCell ref="C1463:C1464"/>
    <mergeCell ref="D1463:D1464"/>
    <mergeCell ref="E1463:E1464"/>
    <mergeCell ref="F1463:F1464"/>
    <mergeCell ref="H1462:H1463"/>
    <mergeCell ref="I1462:I1463"/>
    <mergeCell ref="J1462:J1463"/>
    <mergeCell ref="K1462:K1463"/>
    <mergeCell ref="L1462:L1463"/>
    <mergeCell ref="M1462:M1463"/>
    <mergeCell ref="J1460:J1461"/>
    <mergeCell ref="K1460:K1461"/>
    <mergeCell ref="L1460:L1461"/>
    <mergeCell ref="M1460:M1461"/>
    <mergeCell ref="A1461:A1462"/>
    <mergeCell ref="B1461:B1462"/>
    <mergeCell ref="C1461:C1462"/>
    <mergeCell ref="D1461:D1462"/>
    <mergeCell ref="E1461:E1462"/>
    <mergeCell ref="F1461:F1462"/>
    <mergeCell ref="M1470:M1471"/>
    <mergeCell ref="A1469:A1470"/>
    <mergeCell ref="B1469:B1470"/>
    <mergeCell ref="C1469:C1470"/>
    <mergeCell ref="D1469:D1470"/>
    <mergeCell ref="E1469:E1470"/>
    <mergeCell ref="F1469:F1470"/>
    <mergeCell ref="H1468:H1469"/>
    <mergeCell ref="I1468:I1469"/>
    <mergeCell ref="J1468:J1469"/>
    <mergeCell ref="K1468:K1469"/>
    <mergeCell ref="L1468:L1469"/>
    <mergeCell ref="M1468:M1469"/>
    <mergeCell ref="H1466:H1467"/>
    <mergeCell ref="I1466:I1467"/>
    <mergeCell ref="J1466:J1467"/>
    <mergeCell ref="K1466:K1467"/>
    <mergeCell ref="L1466:L1467"/>
    <mergeCell ref="M1466:M1467"/>
    <mergeCell ref="A1465:A1468"/>
    <mergeCell ref="B1465:B1468"/>
    <mergeCell ref="C1465:C1468"/>
    <mergeCell ref="D1465:D1468"/>
    <mergeCell ref="E1465:E1468"/>
    <mergeCell ref="F1465:F1468"/>
    <mergeCell ref="H1464:H1465"/>
    <mergeCell ref="I1464:I1465"/>
    <mergeCell ref="J1464:J1465"/>
    <mergeCell ref="K1464:K1465"/>
    <mergeCell ref="L1464:L1465"/>
    <mergeCell ref="M1464:M1465"/>
    <mergeCell ref="A1463:A1464"/>
    <mergeCell ref="H1472:L1472"/>
    <mergeCell ref="A1473:E1473"/>
    <mergeCell ref="H1473:L1473"/>
    <mergeCell ref="A1474:E1474"/>
    <mergeCell ref="H1474:L1474"/>
    <mergeCell ref="A1475:E1475"/>
    <mergeCell ref="A1471:A1472"/>
    <mergeCell ref="B1471:B1472"/>
    <mergeCell ref="C1471:C1472"/>
    <mergeCell ref="D1471:D1472"/>
    <mergeCell ref="E1471:E1472"/>
    <mergeCell ref="F1471:F1472"/>
    <mergeCell ref="H1470:H1471"/>
    <mergeCell ref="I1470:I1471"/>
    <mergeCell ref="J1470:J1471"/>
    <mergeCell ref="K1470:K1471"/>
    <mergeCell ref="L1470:L1471"/>
    <mergeCell ref="N1497:O1497"/>
    <mergeCell ref="H1499:H1500"/>
    <mergeCell ref="I1499:I1500"/>
    <mergeCell ref="J1499:J1500"/>
    <mergeCell ref="K1499:K1500"/>
    <mergeCell ref="L1499:L1500"/>
    <mergeCell ref="M1499:M1500"/>
    <mergeCell ref="H1480:K1480"/>
    <mergeCell ref="A1481:D1481"/>
    <mergeCell ref="M1485:O1485"/>
    <mergeCell ref="H1495:O1495"/>
    <mergeCell ref="H1497:H1498"/>
    <mergeCell ref="I1497:I1498"/>
    <mergeCell ref="J1497:J1498"/>
    <mergeCell ref="K1497:K1498"/>
    <mergeCell ref="L1497:L1498"/>
    <mergeCell ref="M1497:M1498"/>
    <mergeCell ref="H1505:H1506"/>
    <mergeCell ref="I1505:I1506"/>
    <mergeCell ref="J1505:J1506"/>
    <mergeCell ref="K1505:K1506"/>
    <mergeCell ref="L1505:L1506"/>
    <mergeCell ref="M1505:M1506"/>
    <mergeCell ref="H1503:H1504"/>
    <mergeCell ref="I1503:I1504"/>
    <mergeCell ref="J1503:J1504"/>
    <mergeCell ref="K1503:K1504"/>
    <mergeCell ref="L1503:L1504"/>
    <mergeCell ref="M1503:M1504"/>
    <mergeCell ref="H1501:H1502"/>
    <mergeCell ref="I1501:I1502"/>
    <mergeCell ref="J1501:J1502"/>
    <mergeCell ref="K1501:K1502"/>
    <mergeCell ref="L1501:L1502"/>
    <mergeCell ref="M1501:M1502"/>
    <mergeCell ref="H1511:L1511"/>
    <mergeCell ref="H1512:L1512"/>
    <mergeCell ref="H1513:L1513"/>
    <mergeCell ref="H1519:K1519"/>
    <mergeCell ref="M1524:O1524"/>
    <mergeCell ref="H1534:O1534"/>
    <mergeCell ref="H1509:H1510"/>
    <mergeCell ref="I1509:I1510"/>
    <mergeCell ref="J1509:J1510"/>
    <mergeCell ref="K1509:K1510"/>
    <mergeCell ref="L1509:L1510"/>
    <mergeCell ref="M1509:M1510"/>
    <mergeCell ref="H1507:H1508"/>
    <mergeCell ref="I1507:I1508"/>
    <mergeCell ref="J1507:J1508"/>
    <mergeCell ref="K1507:K1508"/>
    <mergeCell ref="L1507:L1508"/>
    <mergeCell ref="M1507:M1508"/>
    <mergeCell ref="H1542:H1543"/>
    <mergeCell ref="I1542:I1543"/>
    <mergeCell ref="J1542:J1543"/>
    <mergeCell ref="K1542:K1543"/>
    <mergeCell ref="L1542:L1543"/>
    <mergeCell ref="M1542:M1543"/>
    <mergeCell ref="H1540:H1541"/>
    <mergeCell ref="I1540:I1541"/>
    <mergeCell ref="J1540:J1541"/>
    <mergeCell ref="K1540:K1541"/>
    <mergeCell ref="L1540:L1541"/>
    <mergeCell ref="M1540:M1541"/>
    <mergeCell ref="N1536:O1536"/>
    <mergeCell ref="H1538:H1539"/>
    <mergeCell ref="I1538:I1539"/>
    <mergeCell ref="J1538:J1539"/>
    <mergeCell ref="K1538:K1539"/>
    <mergeCell ref="L1538:L1539"/>
    <mergeCell ref="M1538:M1539"/>
    <mergeCell ref="H1536:H1537"/>
    <mergeCell ref="I1536:I1537"/>
    <mergeCell ref="J1536:J1537"/>
    <mergeCell ref="K1536:K1537"/>
    <mergeCell ref="L1536:L1537"/>
    <mergeCell ref="M1536:M1537"/>
    <mergeCell ref="H1548:L1548"/>
    <mergeCell ref="H1549:L1549"/>
    <mergeCell ref="H1550:L1550"/>
    <mergeCell ref="H1556:K1556"/>
    <mergeCell ref="H1571:O1571"/>
    <mergeCell ref="H1573:H1574"/>
    <mergeCell ref="I1573:I1574"/>
    <mergeCell ref="J1573:J1574"/>
    <mergeCell ref="K1573:K1574"/>
    <mergeCell ref="L1573:L1574"/>
    <mergeCell ref="H1546:H1547"/>
    <mergeCell ref="I1546:I1547"/>
    <mergeCell ref="J1546:J1547"/>
    <mergeCell ref="K1546:K1547"/>
    <mergeCell ref="L1546:L1547"/>
    <mergeCell ref="M1546:M1547"/>
    <mergeCell ref="H1544:H1545"/>
    <mergeCell ref="I1544:I1545"/>
    <mergeCell ref="J1544:J1545"/>
    <mergeCell ref="K1544:K1545"/>
    <mergeCell ref="L1544:L1545"/>
    <mergeCell ref="M1544:M1545"/>
    <mergeCell ref="H1579:H1580"/>
    <mergeCell ref="I1579:I1580"/>
    <mergeCell ref="J1579:J1580"/>
    <mergeCell ref="K1579:K1580"/>
    <mergeCell ref="L1579:L1580"/>
    <mergeCell ref="M1579:M1580"/>
    <mergeCell ref="H1577:H1578"/>
    <mergeCell ref="I1577:I1578"/>
    <mergeCell ref="J1577:J1578"/>
    <mergeCell ref="K1577:K1578"/>
    <mergeCell ref="L1577:L1578"/>
    <mergeCell ref="M1577:M1578"/>
    <mergeCell ref="M1573:M1574"/>
    <mergeCell ref="N1573:O1573"/>
    <mergeCell ref="H1575:H1576"/>
    <mergeCell ref="I1575:I1576"/>
    <mergeCell ref="J1575:J1576"/>
    <mergeCell ref="K1575:K1576"/>
    <mergeCell ref="L1575:L1576"/>
    <mergeCell ref="M1575:M1576"/>
    <mergeCell ref="H1585:L1585"/>
    <mergeCell ref="H1586:L1586"/>
    <mergeCell ref="H1587:L1587"/>
    <mergeCell ref="H1593:K1593"/>
    <mergeCell ref="H1608:O1608"/>
    <mergeCell ref="H1610:H1611"/>
    <mergeCell ref="I1610:I1611"/>
    <mergeCell ref="J1610:J1611"/>
    <mergeCell ref="K1610:K1611"/>
    <mergeCell ref="L1610:L1611"/>
    <mergeCell ref="H1583:H1584"/>
    <mergeCell ref="I1583:I1584"/>
    <mergeCell ref="J1583:J1584"/>
    <mergeCell ref="K1583:K1584"/>
    <mergeCell ref="L1583:L1584"/>
    <mergeCell ref="M1583:M1584"/>
    <mergeCell ref="H1581:H1582"/>
    <mergeCell ref="I1581:I1582"/>
    <mergeCell ref="J1581:J1582"/>
    <mergeCell ref="K1581:K1582"/>
    <mergeCell ref="L1581:L1582"/>
    <mergeCell ref="M1581:M1582"/>
    <mergeCell ref="H1616:H1617"/>
    <mergeCell ref="I1616:I1617"/>
    <mergeCell ref="J1616:J1617"/>
    <mergeCell ref="K1616:K1617"/>
    <mergeCell ref="L1616:L1617"/>
    <mergeCell ref="M1616:M1617"/>
    <mergeCell ref="H1614:H1615"/>
    <mergeCell ref="I1614:I1615"/>
    <mergeCell ref="J1614:J1615"/>
    <mergeCell ref="K1614:K1615"/>
    <mergeCell ref="L1614:L1615"/>
    <mergeCell ref="M1614:M1615"/>
    <mergeCell ref="M1610:M1611"/>
    <mergeCell ref="N1610:O1610"/>
    <mergeCell ref="H1612:H1613"/>
    <mergeCell ref="I1612:I1613"/>
    <mergeCell ref="J1612:J1613"/>
    <mergeCell ref="K1612:K1613"/>
    <mergeCell ref="L1612:L1613"/>
    <mergeCell ref="M1612:M1613"/>
    <mergeCell ref="H1622:L1622"/>
    <mergeCell ref="H1623:L1623"/>
    <mergeCell ref="H1624:L1624"/>
    <mergeCell ref="H1630:K1630"/>
    <mergeCell ref="H1645:O1645"/>
    <mergeCell ref="H1647:H1648"/>
    <mergeCell ref="I1647:I1648"/>
    <mergeCell ref="J1647:J1648"/>
    <mergeCell ref="K1647:K1648"/>
    <mergeCell ref="L1647:L1648"/>
    <mergeCell ref="H1620:H1621"/>
    <mergeCell ref="I1620:I1621"/>
    <mergeCell ref="J1620:J1621"/>
    <mergeCell ref="K1620:K1621"/>
    <mergeCell ref="L1620:L1621"/>
    <mergeCell ref="M1620:M1621"/>
    <mergeCell ref="H1618:H1619"/>
    <mergeCell ref="I1618:I1619"/>
    <mergeCell ref="J1618:J1619"/>
    <mergeCell ref="K1618:K1619"/>
    <mergeCell ref="L1618:L1619"/>
    <mergeCell ref="M1618:M1619"/>
    <mergeCell ref="H1653:H1654"/>
    <mergeCell ref="I1653:I1654"/>
    <mergeCell ref="J1653:J1654"/>
    <mergeCell ref="K1653:K1654"/>
    <mergeCell ref="L1653:L1654"/>
    <mergeCell ref="M1653:M1654"/>
    <mergeCell ref="H1651:H1652"/>
    <mergeCell ref="I1651:I1652"/>
    <mergeCell ref="J1651:J1652"/>
    <mergeCell ref="K1651:K1652"/>
    <mergeCell ref="L1651:L1652"/>
    <mergeCell ref="M1651:M1652"/>
    <mergeCell ref="M1647:M1648"/>
    <mergeCell ref="N1647:O1647"/>
    <mergeCell ref="H1649:H1650"/>
    <mergeCell ref="I1649:I1650"/>
    <mergeCell ref="J1649:J1650"/>
    <mergeCell ref="K1649:K1650"/>
    <mergeCell ref="L1649:L1650"/>
    <mergeCell ref="M1649:M1650"/>
    <mergeCell ref="H1659:L1659"/>
    <mergeCell ref="H1660:L1660"/>
    <mergeCell ref="H1661:L1661"/>
    <mergeCell ref="H1667:K1667"/>
    <mergeCell ref="H1682:O1682"/>
    <mergeCell ref="H1684:H1685"/>
    <mergeCell ref="I1684:I1685"/>
    <mergeCell ref="J1684:J1685"/>
    <mergeCell ref="K1684:K1685"/>
    <mergeCell ref="L1684:L1685"/>
    <mergeCell ref="H1657:H1658"/>
    <mergeCell ref="I1657:I1658"/>
    <mergeCell ref="J1657:J1658"/>
    <mergeCell ref="K1657:K1658"/>
    <mergeCell ref="L1657:L1658"/>
    <mergeCell ref="M1657:M1658"/>
    <mergeCell ref="H1655:H1656"/>
    <mergeCell ref="I1655:I1656"/>
    <mergeCell ref="J1655:J1656"/>
    <mergeCell ref="K1655:K1656"/>
    <mergeCell ref="L1655:L1656"/>
    <mergeCell ref="M1655:M1656"/>
    <mergeCell ref="H1690:H1691"/>
    <mergeCell ref="I1690:I1691"/>
    <mergeCell ref="J1690:J1691"/>
    <mergeCell ref="K1690:K1691"/>
    <mergeCell ref="L1690:L1691"/>
    <mergeCell ref="M1690:M1691"/>
    <mergeCell ref="H1688:H1689"/>
    <mergeCell ref="I1688:I1689"/>
    <mergeCell ref="J1688:J1689"/>
    <mergeCell ref="K1688:K1689"/>
    <mergeCell ref="L1688:L1689"/>
    <mergeCell ref="M1688:M1689"/>
    <mergeCell ref="M1684:M1685"/>
    <mergeCell ref="N1684:O1684"/>
    <mergeCell ref="H1686:H1687"/>
    <mergeCell ref="I1686:I1687"/>
    <mergeCell ref="J1686:J1687"/>
    <mergeCell ref="K1686:K1687"/>
    <mergeCell ref="L1686:L1687"/>
    <mergeCell ref="M1686:M1687"/>
    <mergeCell ref="H1696:L1696"/>
    <mergeCell ref="H1697:L1697"/>
    <mergeCell ref="H1698:L1698"/>
    <mergeCell ref="H1704:K1704"/>
    <mergeCell ref="H1719:O1719"/>
    <mergeCell ref="H1721:H1722"/>
    <mergeCell ref="I1721:I1722"/>
    <mergeCell ref="J1721:J1722"/>
    <mergeCell ref="K1721:K1722"/>
    <mergeCell ref="L1721:L1722"/>
    <mergeCell ref="H1694:H1695"/>
    <mergeCell ref="I1694:I1695"/>
    <mergeCell ref="J1694:J1695"/>
    <mergeCell ref="K1694:K1695"/>
    <mergeCell ref="L1694:L1695"/>
    <mergeCell ref="M1694:M1695"/>
    <mergeCell ref="H1692:H1693"/>
    <mergeCell ref="I1692:I1693"/>
    <mergeCell ref="J1692:J1693"/>
    <mergeCell ref="K1692:K1693"/>
    <mergeCell ref="L1692:L1693"/>
    <mergeCell ref="M1692:M1693"/>
    <mergeCell ref="H1727:H1728"/>
    <mergeCell ref="I1727:I1728"/>
    <mergeCell ref="J1727:J1728"/>
    <mergeCell ref="K1727:K1728"/>
    <mergeCell ref="L1727:L1728"/>
    <mergeCell ref="M1727:M1728"/>
    <mergeCell ref="H1725:H1726"/>
    <mergeCell ref="I1725:I1726"/>
    <mergeCell ref="J1725:J1726"/>
    <mergeCell ref="K1725:K1726"/>
    <mergeCell ref="L1725:L1726"/>
    <mergeCell ref="M1725:M1726"/>
    <mergeCell ref="M1721:M1722"/>
    <mergeCell ref="N1721:O1721"/>
    <mergeCell ref="H1723:H1724"/>
    <mergeCell ref="I1723:I1724"/>
    <mergeCell ref="J1723:J1724"/>
    <mergeCell ref="K1723:K1724"/>
    <mergeCell ref="L1723:L1724"/>
    <mergeCell ref="M1723:M1724"/>
    <mergeCell ref="H1733:H1734"/>
    <mergeCell ref="I1733:I1734"/>
    <mergeCell ref="J1733:J1734"/>
    <mergeCell ref="K1733:K1734"/>
    <mergeCell ref="L1733:L1734"/>
    <mergeCell ref="M1733:M1734"/>
    <mergeCell ref="H1731:H1732"/>
    <mergeCell ref="I1731:I1732"/>
    <mergeCell ref="J1731:J1732"/>
    <mergeCell ref="K1731:K1732"/>
    <mergeCell ref="L1731:L1732"/>
    <mergeCell ref="M1731:M1732"/>
    <mergeCell ref="H1729:H1730"/>
    <mergeCell ref="I1729:I1730"/>
    <mergeCell ref="J1729:J1730"/>
    <mergeCell ref="K1729:K1730"/>
    <mergeCell ref="L1729:L1730"/>
    <mergeCell ref="M1729:M1730"/>
    <mergeCell ref="H1764:H1765"/>
    <mergeCell ref="I1764:I1765"/>
    <mergeCell ref="J1764:J1765"/>
    <mergeCell ref="K1764:K1765"/>
    <mergeCell ref="L1764:L1765"/>
    <mergeCell ref="M1764:M1765"/>
    <mergeCell ref="M1760:M1761"/>
    <mergeCell ref="N1760:O1760"/>
    <mergeCell ref="H1762:H1763"/>
    <mergeCell ref="I1762:I1763"/>
    <mergeCell ref="J1762:J1763"/>
    <mergeCell ref="K1762:K1763"/>
    <mergeCell ref="L1762:L1763"/>
    <mergeCell ref="M1762:M1763"/>
    <mergeCell ref="H1735:L1735"/>
    <mergeCell ref="H1736:L1736"/>
    <mergeCell ref="H1737:L1737"/>
    <mergeCell ref="H1743:K1743"/>
    <mergeCell ref="H1758:O1758"/>
    <mergeCell ref="H1760:H1761"/>
    <mergeCell ref="I1760:I1761"/>
    <mergeCell ref="J1760:J1761"/>
    <mergeCell ref="K1760:K1761"/>
    <mergeCell ref="L1760:L1761"/>
    <mergeCell ref="H1770:H1771"/>
    <mergeCell ref="I1770:I1771"/>
    <mergeCell ref="J1770:J1771"/>
    <mergeCell ref="K1770:K1771"/>
    <mergeCell ref="L1770:L1771"/>
    <mergeCell ref="M1770:M1771"/>
    <mergeCell ref="H1768:H1769"/>
    <mergeCell ref="I1768:I1769"/>
    <mergeCell ref="J1768:J1769"/>
    <mergeCell ref="K1768:K1769"/>
    <mergeCell ref="L1768:L1769"/>
    <mergeCell ref="M1768:M1769"/>
    <mergeCell ref="H1766:H1767"/>
    <mergeCell ref="I1766:I1767"/>
    <mergeCell ref="J1766:J1767"/>
    <mergeCell ref="K1766:K1767"/>
    <mergeCell ref="L1766:L1767"/>
    <mergeCell ref="M1766:M1767"/>
    <mergeCell ref="H1801:H1802"/>
    <mergeCell ref="I1801:I1802"/>
    <mergeCell ref="J1801:J1802"/>
    <mergeCell ref="K1801:K1802"/>
    <mergeCell ref="L1801:L1802"/>
    <mergeCell ref="M1801:M1802"/>
    <mergeCell ref="M1797:M1798"/>
    <mergeCell ref="N1797:O1797"/>
    <mergeCell ref="H1799:H1800"/>
    <mergeCell ref="I1799:I1800"/>
    <mergeCell ref="J1799:J1800"/>
    <mergeCell ref="K1799:K1800"/>
    <mergeCell ref="L1799:L1800"/>
    <mergeCell ref="M1799:M1800"/>
    <mergeCell ref="H1772:L1772"/>
    <mergeCell ref="H1773:L1773"/>
    <mergeCell ref="H1774:L1774"/>
    <mergeCell ref="H1780:K1780"/>
    <mergeCell ref="H1795:O1795"/>
    <mergeCell ref="H1797:H1798"/>
    <mergeCell ref="I1797:I1798"/>
    <mergeCell ref="J1797:J1798"/>
    <mergeCell ref="K1797:K1798"/>
    <mergeCell ref="L1797:L1798"/>
    <mergeCell ref="H1807:H1808"/>
    <mergeCell ref="I1807:I1808"/>
    <mergeCell ref="J1807:J1808"/>
    <mergeCell ref="K1807:K1808"/>
    <mergeCell ref="L1807:L1808"/>
    <mergeCell ref="M1807:M1808"/>
    <mergeCell ref="H1805:H1806"/>
    <mergeCell ref="I1805:I1806"/>
    <mergeCell ref="J1805:J1806"/>
    <mergeCell ref="K1805:K1806"/>
    <mergeCell ref="L1805:L1806"/>
    <mergeCell ref="M1805:M1806"/>
    <mergeCell ref="H1803:H1804"/>
    <mergeCell ref="I1803:I1804"/>
    <mergeCell ref="J1803:J1804"/>
    <mergeCell ref="K1803:K1804"/>
    <mergeCell ref="L1803:L1804"/>
    <mergeCell ref="M1803:M1804"/>
    <mergeCell ref="H1838:H1839"/>
    <mergeCell ref="I1838:I1839"/>
    <mergeCell ref="J1838:J1839"/>
    <mergeCell ref="K1838:K1839"/>
    <mergeCell ref="L1838:L1839"/>
    <mergeCell ref="M1838:M1839"/>
    <mergeCell ref="M1834:M1835"/>
    <mergeCell ref="N1834:O1834"/>
    <mergeCell ref="H1836:H1837"/>
    <mergeCell ref="I1836:I1837"/>
    <mergeCell ref="J1836:J1837"/>
    <mergeCell ref="K1836:K1837"/>
    <mergeCell ref="L1836:L1837"/>
    <mergeCell ref="M1836:M1837"/>
    <mergeCell ref="H1809:L1809"/>
    <mergeCell ref="H1810:L1810"/>
    <mergeCell ref="H1811:L1811"/>
    <mergeCell ref="H1817:K1817"/>
    <mergeCell ref="H1832:O1832"/>
    <mergeCell ref="H1834:H1835"/>
    <mergeCell ref="I1834:I1835"/>
    <mergeCell ref="J1834:J1835"/>
    <mergeCell ref="K1834:K1835"/>
    <mergeCell ref="L1834:L1835"/>
    <mergeCell ref="H1844:H1845"/>
    <mergeCell ref="I1844:I1845"/>
    <mergeCell ref="J1844:J1845"/>
    <mergeCell ref="K1844:K1845"/>
    <mergeCell ref="L1844:L1845"/>
    <mergeCell ref="M1844:M1845"/>
    <mergeCell ref="H1842:H1843"/>
    <mergeCell ref="I1842:I1843"/>
    <mergeCell ref="J1842:J1843"/>
    <mergeCell ref="K1842:K1843"/>
    <mergeCell ref="L1842:L1843"/>
    <mergeCell ref="M1842:M1843"/>
    <mergeCell ref="H1840:H1841"/>
    <mergeCell ref="I1840:I1841"/>
    <mergeCell ref="J1840:J1841"/>
    <mergeCell ref="K1840:K1841"/>
    <mergeCell ref="L1840:L1841"/>
    <mergeCell ref="M1840:M1841"/>
    <mergeCell ref="H1875:H1876"/>
    <mergeCell ref="I1875:I1876"/>
    <mergeCell ref="J1875:J1876"/>
    <mergeCell ref="K1875:K1876"/>
    <mergeCell ref="L1875:L1876"/>
    <mergeCell ref="M1875:M1876"/>
    <mergeCell ref="M1871:M1872"/>
    <mergeCell ref="N1871:O1871"/>
    <mergeCell ref="H1873:H1874"/>
    <mergeCell ref="I1873:I1874"/>
    <mergeCell ref="J1873:J1874"/>
    <mergeCell ref="K1873:K1874"/>
    <mergeCell ref="L1873:L1874"/>
    <mergeCell ref="M1873:M1874"/>
    <mergeCell ref="H1846:L1846"/>
    <mergeCell ref="H1847:L1847"/>
    <mergeCell ref="H1848:L1848"/>
    <mergeCell ref="H1854:K1854"/>
    <mergeCell ref="H1869:O1869"/>
    <mergeCell ref="H1871:H1872"/>
    <mergeCell ref="I1871:I1872"/>
    <mergeCell ref="J1871:J1872"/>
    <mergeCell ref="K1871:K1872"/>
    <mergeCell ref="L1871:L1872"/>
    <mergeCell ref="H1881:H1882"/>
    <mergeCell ref="I1881:I1882"/>
    <mergeCell ref="J1881:J1882"/>
    <mergeCell ref="K1881:K1882"/>
    <mergeCell ref="L1881:L1882"/>
    <mergeCell ref="M1881:M1882"/>
    <mergeCell ref="H1879:H1880"/>
    <mergeCell ref="I1879:I1880"/>
    <mergeCell ref="J1879:J1880"/>
    <mergeCell ref="K1879:K1880"/>
    <mergeCell ref="L1879:L1880"/>
    <mergeCell ref="M1879:M1880"/>
    <mergeCell ref="H1877:H1878"/>
    <mergeCell ref="I1877:I1878"/>
    <mergeCell ref="J1877:J1878"/>
    <mergeCell ref="K1877:K1878"/>
    <mergeCell ref="L1877:L1878"/>
    <mergeCell ref="M1877:M1878"/>
    <mergeCell ref="H1912:H1913"/>
    <mergeCell ref="I1912:I1913"/>
    <mergeCell ref="J1912:J1913"/>
    <mergeCell ref="K1912:K1913"/>
    <mergeCell ref="L1912:L1913"/>
    <mergeCell ref="M1912:M1913"/>
    <mergeCell ref="M1908:M1909"/>
    <mergeCell ref="N1908:O1908"/>
    <mergeCell ref="H1910:H1911"/>
    <mergeCell ref="I1910:I1911"/>
    <mergeCell ref="J1910:J1911"/>
    <mergeCell ref="K1910:K1911"/>
    <mergeCell ref="L1910:L1911"/>
    <mergeCell ref="M1910:M1911"/>
    <mergeCell ref="H1883:L1883"/>
    <mergeCell ref="H1884:L1884"/>
    <mergeCell ref="H1885:L1885"/>
    <mergeCell ref="H1891:K1891"/>
    <mergeCell ref="H1906:O1906"/>
    <mergeCell ref="H1908:H1909"/>
    <mergeCell ref="I1908:I1909"/>
    <mergeCell ref="J1908:J1909"/>
    <mergeCell ref="K1908:K1909"/>
    <mergeCell ref="L1908:L1909"/>
    <mergeCell ref="H1918:H1919"/>
    <mergeCell ref="I1918:I1919"/>
    <mergeCell ref="J1918:J1919"/>
    <mergeCell ref="K1918:K1919"/>
    <mergeCell ref="L1918:L1919"/>
    <mergeCell ref="M1918:M1919"/>
    <mergeCell ref="H1916:H1917"/>
    <mergeCell ref="I1916:I1917"/>
    <mergeCell ref="J1916:J1917"/>
    <mergeCell ref="K1916:K1917"/>
    <mergeCell ref="L1916:L1917"/>
    <mergeCell ref="M1916:M1917"/>
    <mergeCell ref="H1914:H1915"/>
    <mergeCell ref="I1914:I1915"/>
    <mergeCell ref="J1914:J1915"/>
    <mergeCell ref="K1914:K1915"/>
    <mergeCell ref="L1914:L1915"/>
    <mergeCell ref="M1914:M1915"/>
    <mergeCell ref="H1949:H1950"/>
    <mergeCell ref="I1949:I1950"/>
    <mergeCell ref="J1949:J1950"/>
    <mergeCell ref="K1949:K1950"/>
    <mergeCell ref="L1949:L1950"/>
    <mergeCell ref="M1949:M1950"/>
    <mergeCell ref="M1945:M1946"/>
    <mergeCell ref="N1945:O1945"/>
    <mergeCell ref="H1947:H1948"/>
    <mergeCell ref="I1947:I1948"/>
    <mergeCell ref="J1947:J1948"/>
    <mergeCell ref="K1947:K1948"/>
    <mergeCell ref="L1947:L1948"/>
    <mergeCell ref="M1947:M1948"/>
    <mergeCell ref="H1920:L1920"/>
    <mergeCell ref="H1921:L1921"/>
    <mergeCell ref="H1922:L1922"/>
    <mergeCell ref="H1928:K1928"/>
    <mergeCell ref="H1943:O1943"/>
    <mergeCell ref="H1945:H1946"/>
    <mergeCell ref="I1945:I1946"/>
    <mergeCell ref="J1945:J1946"/>
    <mergeCell ref="K1945:K1946"/>
    <mergeCell ref="L1945:L1946"/>
    <mergeCell ref="H1955:H1956"/>
    <mergeCell ref="I1955:I1956"/>
    <mergeCell ref="J1955:J1956"/>
    <mergeCell ref="K1955:K1956"/>
    <mergeCell ref="L1955:L1956"/>
    <mergeCell ref="M1955:M1956"/>
    <mergeCell ref="H1953:H1954"/>
    <mergeCell ref="I1953:I1954"/>
    <mergeCell ref="J1953:J1954"/>
    <mergeCell ref="K1953:K1954"/>
    <mergeCell ref="L1953:L1954"/>
    <mergeCell ref="M1953:M1954"/>
    <mergeCell ref="H1951:H1952"/>
    <mergeCell ref="I1951:I1952"/>
    <mergeCell ref="J1951:J1952"/>
    <mergeCell ref="K1951:K1952"/>
    <mergeCell ref="L1951:L1952"/>
    <mergeCell ref="M1951:M1952"/>
    <mergeCell ref="H1986:H1987"/>
    <mergeCell ref="I1986:I1987"/>
    <mergeCell ref="J1986:J1987"/>
    <mergeCell ref="K1986:K1987"/>
    <mergeCell ref="L1986:L1987"/>
    <mergeCell ref="M1986:M1987"/>
    <mergeCell ref="M1982:M1983"/>
    <mergeCell ref="N1982:O1982"/>
    <mergeCell ref="H1984:H1985"/>
    <mergeCell ref="I1984:I1985"/>
    <mergeCell ref="J1984:J1985"/>
    <mergeCell ref="K1984:K1985"/>
    <mergeCell ref="L1984:L1985"/>
    <mergeCell ref="M1984:M1985"/>
    <mergeCell ref="H1957:L1957"/>
    <mergeCell ref="H1958:L1958"/>
    <mergeCell ref="H1959:L1959"/>
    <mergeCell ref="H1965:K1965"/>
    <mergeCell ref="H1980:O1980"/>
    <mergeCell ref="H1982:H1983"/>
    <mergeCell ref="I1982:I1983"/>
    <mergeCell ref="J1982:J1983"/>
    <mergeCell ref="K1982:K1983"/>
    <mergeCell ref="L1982:L1983"/>
    <mergeCell ref="H1992:H1993"/>
    <mergeCell ref="I1992:I1993"/>
    <mergeCell ref="J1992:J1993"/>
    <mergeCell ref="K1992:K1993"/>
    <mergeCell ref="L1992:L1993"/>
    <mergeCell ref="M1992:M1993"/>
    <mergeCell ref="H1990:H1991"/>
    <mergeCell ref="I1990:I1991"/>
    <mergeCell ref="J1990:J1991"/>
    <mergeCell ref="K1990:K1991"/>
    <mergeCell ref="L1990:L1991"/>
    <mergeCell ref="M1990:M1991"/>
    <mergeCell ref="H1988:H1989"/>
    <mergeCell ref="I1988:I1989"/>
    <mergeCell ref="J1988:J1989"/>
    <mergeCell ref="K1988:K1989"/>
    <mergeCell ref="L1988:L1989"/>
    <mergeCell ref="M1988:M1989"/>
    <mergeCell ref="H2023:H2024"/>
    <mergeCell ref="I2023:I2024"/>
    <mergeCell ref="J2023:J2024"/>
    <mergeCell ref="K2023:K2024"/>
    <mergeCell ref="L2023:L2024"/>
    <mergeCell ref="M2023:M2024"/>
    <mergeCell ref="M2019:M2020"/>
    <mergeCell ref="N2019:O2019"/>
    <mergeCell ref="H2021:H2022"/>
    <mergeCell ref="I2021:I2022"/>
    <mergeCell ref="J2021:J2022"/>
    <mergeCell ref="K2021:K2022"/>
    <mergeCell ref="L2021:L2022"/>
    <mergeCell ref="M2021:M2022"/>
    <mergeCell ref="H1994:L1994"/>
    <mergeCell ref="H1995:L1995"/>
    <mergeCell ref="H1996:L1996"/>
    <mergeCell ref="H2002:K2002"/>
    <mergeCell ref="H2017:O2017"/>
    <mergeCell ref="H2019:H2020"/>
    <mergeCell ref="I2019:I2020"/>
    <mergeCell ref="J2019:J2020"/>
    <mergeCell ref="K2019:K2020"/>
    <mergeCell ref="L2019:L2020"/>
    <mergeCell ref="H2029:H2030"/>
    <mergeCell ref="I2029:I2030"/>
    <mergeCell ref="J2029:J2030"/>
    <mergeCell ref="K2029:K2030"/>
    <mergeCell ref="L2029:L2030"/>
    <mergeCell ref="M2029:M2030"/>
    <mergeCell ref="H2027:H2028"/>
    <mergeCell ref="I2027:I2028"/>
    <mergeCell ref="J2027:J2028"/>
    <mergeCell ref="K2027:K2028"/>
    <mergeCell ref="L2027:L2028"/>
    <mergeCell ref="M2027:M2028"/>
    <mergeCell ref="H2025:H2026"/>
    <mergeCell ref="I2025:I2026"/>
    <mergeCell ref="J2025:J2026"/>
    <mergeCell ref="K2025:K2026"/>
    <mergeCell ref="L2025:L2026"/>
    <mergeCell ref="M2025:M2026"/>
    <mergeCell ref="H2060:H2061"/>
    <mergeCell ref="I2060:I2061"/>
    <mergeCell ref="J2060:J2061"/>
    <mergeCell ref="K2060:K2061"/>
    <mergeCell ref="L2060:L2061"/>
    <mergeCell ref="M2060:M2061"/>
    <mergeCell ref="M2056:M2057"/>
    <mergeCell ref="N2056:O2056"/>
    <mergeCell ref="H2058:H2059"/>
    <mergeCell ref="I2058:I2059"/>
    <mergeCell ref="J2058:J2059"/>
    <mergeCell ref="K2058:K2059"/>
    <mergeCell ref="L2058:L2059"/>
    <mergeCell ref="M2058:M2059"/>
    <mergeCell ref="H2031:L2031"/>
    <mergeCell ref="H2032:L2032"/>
    <mergeCell ref="H2033:L2033"/>
    <mergeCell ref="H2039:K2039"/>
    <mergeCell ref="H2054:O2054"/>
    <mergeCell ref="H2056:H2057"/>
    <mergeCell ref="I2056:I2057"/>
    <mergeCell ref="J2056:J2057"/>
    <mergeCell ref="K2056:K2057"/>
    <mergeCell ref="L2056:L2057"/>
    <mergeCell ref="H2066:H2067"/>
    <mergeCell ref="I2066:I2067"/>
    <mergeCell ref="J2066:J2067"/>
    <mergeCell ref="K2066:K2067"/>
    <mergeCell ref="L2066:L2067"/>
    <mergeCell ref="M2066:M2067"/>
    <mergeCell ref="H2064:H2065"/>
    <mergeCell ref="I2064:I2065"/>
    <mergeCell ref="J2064:J2065"/>
    <mergeCell ref="K2064:K2065"/>
    <mergeCell ref="L2064:L2065"/>
    <mergeCell ref="M2064:M2065"/>
    <mergeCell ref="H2062:H2063"/>
    <mergeCell ref="I2062:I2063"/>
    <mergeCell ref="J2062:J2063"/>
    <mergeCell ref="K2062:K2063"/>
    <mergeCell ref="L2062:L2063"/>
    <mergeCell ref="M2062:M2063"/>
    <mergeCell ref="H2097:H2098"/>
    <mergeCell ref="I2097:I2098"/>
    <mergeCell ref="J2097:J2098"/>
    <mergeCell ref="K2097:K2098"/>
    <mergeCell ref="L2097:L2098"/>
    <mergeCell ref="M2097:M2098"/>
    <mergeCell ref="M2093:M2094"/>
    <mergeCell ref="N2093:O2093"/>
    <mergeCell ref="H2095:H2096"/>
    <mergeCell ref="I2095:I2096"/>
    <mergeCell ref="J2095:J2096"/>
    <mergeCell ref="K2095:K2096"/>
    <mergeCell ref="L2095:L2096"/>
    <mergeCell ref="M2095:M2096"/>
    <mergeCell ref="H2068:L2068"/>
    <mergeCell ref="H2069:L2069"/>
    <mergeCell ref="H2070:L2070"/>
    <mergeCell ref="H2076:K2076"/>
    <mergeCell ref="H2091:O2091"/>
    <mergeCell ref="H2093:H2094"/>
    <mergeCell ref="I2093:I2094"/>
    <mergeCell ref="J2093:J2094"/>
    <mergeCell ref="K2093:K2094"/>
    <mergeCell ref="L2093:L2094"/>
    <mergeCell ref="H2103:H2104"/>
    <mergeCell ref="I2103:I2104"/>
    <mergeCell ref="J2103:J2104"/>
    <mergeCell ref="K2103:K2104"/>
    <mergeCell ref="L2103:L2104"/>
    <mergeCell ref="M2103:M2104"/>
    <mergeCell ref="H2101:H2102"/>
    <mergeCell ref="I2101:I2102"/>
    <mergeCell ref="J2101:J2102"/>
    <mergeCell ref="K2101:K2102"/>
    <mergeCell ref="L2101:L2102"/>
    <mergeCell ref="M2101:M2102"/>
    <mergeCell ref="H2099:H2100"/>
    <mergeCell ref="I2099:I2100"/>
    <mergeCell ref="J2099:J2100"/>
    <mergeCell ref="K2099:K2100"/>
    <mergeCell ref="L2099:L2100"/>
    <mergeCell ref="M2099:M2100"/>
    <mergeCell ref="H2134:H2135"/>
    <mergeCell ref="I2134:I2135"/>
    <mergeCell ref="J2134:J2135"/>
    <mergeCell ref="K2134:K2135"/>
    <mergeCell ref="L2134:L2135"/>
    <mergeCell ref="M2134:M2135"/>
    <mergeCell ref="M2130:M2131"/>
    <mergeCell ref="N2130:O2130"/>
    <mergeCell ref="H2132:H2133"/>
    <mergeCell ref="I2132:I2133"/>
    <mergeCell ref="J2132:J2133"/>
    <mergeCell ref="K2132:K2133"/>
    <mergeCell ref="L2132:L2133"/>
    <mergeCell ref="M2132:M2133"/>
    <mergeCell ref="H2105:L2105"/>
    <mergeCell ref="H2106:L2106"/>
    <mergeCell ref="H2107:L2107"/>
    <mergeCell ref="H2113:K2113"/>
    <mergeCell ref="H2128:O2128"/>
    <mergeCell ref="H2130:H2131"/>
    <mergeCell ref="I2130:I2131"/>
    <mergeCell ref="J2130:J2131"/>
    <mergeCell ref="K2130:K2131"/>
    <mergeCell ref="L2130:L2131"/>
    <mergeCell ref="H2140:H2141"/>
    <mergeCell ref="I2140:I2141"/>
    <mergeCell ref="J2140:J2141"/>
    <mergeCell ref="K2140:K2141"/>
    <mergeCell ref="L2140:L2141"/>
    <mergeCell ref="M2140:M2141"/>
    <mergeCell ref="H2138:H2139"/>
    <mergeCell ref="I2138:I2139"/>
    <mergeCell ref="J2138:J2139"/>
    <mergeCell ref="K2138:K2139"/>
    <mergeCell ref="L2138:L2139"/>
    <mergeCell ref="M2138:M2139"/>
    <mergeCell ref="H2136:H2137"/>
    <mergeCell ref="I2136:I2137"/>
    <mergeCell ref="J2136:J2137"/>
    <mergeCell ref="K2136:K2137"/>
    <mergeCell ref="L2136:L2137"/>
    <mergeCell ref="M2136:M2137"/>
    <mergeCell ref="M2167:M2168"/>
    <mergeCell ref="N2167:O2167"/>
    <mergeCell ref="H2169:H2170"/>
    <mergeCell ref="I2169:I2170"/>
    <mergeCell ref="J2169:J2170"/>
    <mergeCell ref="K2169:K2170"/>
    <mergeCell ref="L2169:L2170"/>
    <mergeCell ref="M2169:M2170"/>
    <mergeCell ref="H2142:L2142"/>
    <mergeCell ref="H2143:L2143"/>
    <mergeCell ref="H2144:L2144"/>
    <mergeCell ref="H2150:K2150"/>
    <mergeCell ref="H2165:O2165"/>
    <mergeCell ref="H2167:H2168"/>
    <mergeCell ref="I2167:I2168"/>
    <mergeCell ref="J2167:J2168"/>
    <mergeCell ref="K2167:K2168"/>
    <mergeCell ref="L2167:L2168"/>
    <mergeCell ref="H2175:H2176"/>
    <mergeCell ref="I2175:I2176"/>
    <mergeCell ref="J2175:J2176"/>
    <mergeCell ref="K2175:K2176"/>
    <mergeCell ref="L2175:L2176"/>
    <mergeCell ref="M2175:M2176"/>
    <mergeCell ref="H2173:H2174"/>
    <mergeCell ref="I2173:I2174"/>
    <mergeCell ref="J2173:J2174"/>
    <mergeCell ref="K2173:K2174"/>
    <mergeCell ref="L2173:L2174"/>
    <mergeCell ref="M2173:M2174"/>
    <mergeCell ref="H2171:H2172"/>
    <mergeCell ref="I2171:I2172"/>
    <mergeCell ref="J2171:J2172"/>
    <mergeCell ref="K2171:K2172"/>
    <mergeCell ref="L2171:L2172"/>
    <mergeCell ref="M2171:M2172"/>
    <mergeCell ref="H2181:L2181"/>
    <mergeCell ref="H2182:L2182"/>
    <mergeCell ref="H2183:L2183"/>
    <mergeCell ref="H2189:K2189"/>
    <mergeCell ref="H2204:O2204"/>
    <mergeCell ref="H2206:H2207"/>
    <mergeCell ref="I2206:I2207"/>
    <mergeCell ref="J2206:J2207"/>
    <mergeCell ref="K2206:K2207"/>
    <mergeCell ref="L2206:L2207"/>
    <mergeCell ref="H2179:H2180"/>
    <mergeCell ref="I2179:I2180"/>
    <mergeCell ref="J2179:J2180"/>
    <mergeCell ref="K2179:K2180"/>
    <mergeCell ref="L2179:L2180"/>
    <mergeCell ref="M2179:M2180"/>
    <mergeCell ref="H2177:H2178"/>
    <mergeCell ref="I2177:I2178"/>
    <mergeCell ref="J2177:J2178"/>
    <mergeCell ref="K2177:K2178"/>
    <mergeCell ref="L2177:L2178"/>
    <mergeCell ref="M2177:M2178"/>
    <mergeCell ref="H2212:H2213"/>
    <mergeCell ref="I2212:I2213"/>
    <mergeCell ref="J2212:J2213"/>
    <mergeCell ref="K2212:K2213"/>
    <mergeCell ref="L2212:L2213"/>
    <mergeCell ref="M2212:M2213"/>
    <mergeCell ref="H2210:H2211"/>
    <mergeCell ref="I2210:I2211"/>
    <mergeCell ref="J2210:J2211"/>
    <mergeCell ref="K2210:K2211"/>
    <mergeCell ref="L2210:L2211"/>
    <mergeCell ref="M2210:M2211"/>
    <mergeCell ref="M2206:M2207"/>
    <mergeCell ref="N2206:O2206"/>
    <mergeCell ref="H2208:H2209"/>
    <mergeCell ref="I2208:I2209"/>
    <mergeCell ref="J2208:J2209"/>
    <mergeCell ref="K2208:K2209"/>
    <mergeCell ref="L2208:L2209"/>
    <mergeCell ref="M2208:M2209"/>
    <mergeCell ref="H2218:L2218"/>
    <mergeCell ref="H2219:L2219"/>
    <mergeCell ref="H2220:L2220"/>
    <mergeCell ref="H2226:K2226"/>
    <mergeCell ref="H2241:O2241"/>
    <mergeCell ref="H2243:H2244"/>
    <mergeCell ref="I2243:I2244"/>
    <mergeCell ref="J2243:J2244"/>
    <mergeCell ref="K2243:K2244"/>
    <mergeCell ref="L2243:L2244"/>
    <mergeCell ref="H2216:H2217"/>
    <mergeCell ref="I2216:I2217"/>
    <mergeCell ref="J2216:J2217"/>
    <mergeCell ref="K2216:K2217"/>
    <mergeCell ref="L2216:L2217"/>
    <mergeCell ref="M2216:M2217"/>
    <mergeCell ref="H2214:H2215"/>
    <mergeCell ref="I2214:I2215"/>
    <mergeCell ref="J2214:J2215"/>
    <mergeCell ref="K2214:K2215"/>
    <mergeCell ref="L2214:L2215"/>
    <mergeCell ref="M2214:M2215"/>
    <mergeCell ref="H2249:H2250"/>
    <mergeCell ref="I2249:I2250"/>
    <mergeCell ref="J2249:J2250"/>
    <mergeCell ref="K2249:K2250"/>
    <mergeCell ref="L2249:L2250"/>
    <mergeCell ref="M2249:M2250"/>
    <mergeCell ref="H2247:H2248"/>
    <mergeCell ref="I2247:I2248"/>
    <mergeCell ref="J2247:J2248"/>
    <mergeCell ref="K2247:K2248"/>
    <mergeCell ref="L2247:L2248"/>
    <mergeCell ref="M2247:M2248"/>
    <mergeCell ref="M2243:M2244"/>
    <mergeCell ref="N2243:O2243"/>
    <mergeCell ref="H2245:H2246"/>
    <mergeCell ref="I2245:I2246"/>
    <mergeCell ref="J2245:J2246"/>
    <mergeCell ref="K2245:K2246"/>
    <mergeCell ref="L2245:L2246"/>
    <mergeCell ref="M2245:M2246"/>
    <mergeCell ref="H2255:L2255"/>
    <mergeCell ref="H2256:L2256"/>
    <mergeCell ref="H2257:L2257"/>
    <mergeCell ref="H2263:K2263"/>
    <mergeCell ref="H2278:O2278"/>
    <mergeCell ref="H2280:H2281"/>
    <mergeCell ref="I2280:I2281"/>
    <mergeCell ref="J2280:J2281"/>
    <mergeCell ref="K2280:K2281"/>
    <mergeCell ref="L2280:L2281"/>
    <mergeCell ref="H2253:H2254"/>
    <mergeCell ref="I2253:I2254"/>
    <mergeCell ref="J2253:J2254"/>
    <mergeCell ref="K2253:K2254"/>
    <mergeCell ref="L2253:L2254"/>
    <mergeCell ref="M2253:M2254"/>
    <mergeCell ref="H2251:H2252"/>
    <mergeCell ref="I2251:I2252"/>
    <mergeCell ref="J2251:J2252"/>
    <mergeCell ref="K2251:K2252"/>
    <mergeCell ref="L2251:L2252"/>
    <mergeCell ref="M2251:M2252"/>
    <mergeCell ref="H2286:H2287"/>
    <mergeCell ref="I2286:I2287"/>
    <mergeCell ref="J2286:J2287"/>
    <mergeCell ref="K2286:K2287"/>
    <mergeCell ref="L2286:L2287"/>
    <mergeCell ref="M2286:M2287"/>
    <mergeCell ref="H2284:H2285"/>
    <mergeCell ref="I2284:I2285"/>
    <mergeCell ref="J2284:J2285"/>
    <mergeCell ref="K2284:K2285"/>
    <mergeCell ref="L2284:L2285"/>
    <mergeCell ref="M2284:M2285"/>
    <mergeCell ref="M2280:M2281"/>
    <mergeCell ref="N2280:O2280"/>
    <mergeCell ref="H2282:H2283"/>
    <mergeCell ref="I2282:I2283"/>
    <mergeCell ref="J2282:J2283"/>
    <mergeCell ref="K2282:K2283"/>
    <mergeCell ref="L2282:L2283"/>
    <mergeCell ref="M2282:M2283"/>
    <mergeCell ref="H2292:L2292"/>
    <mergeCell ref="H2293:L2293"/>
    <mergeCell ref="H2294:L2294"/>
    <mergeCell ref="H2300:K2300"/>
    <mergeCell ref="H2315:O2315"/>
    <mergeCell ref="H2317:H2318"/>
    <mergeCell ref="I2317:I2318"/>
    <mergeCell ref="J2317:J2318"/>
    <mergeCell ref="K2317:K2318"/>
    <mergeCell ref="L2317:L2318"/>
    <mergeCell ref="H2290:H2291"/>
    <mergeCell ref="I2290:I2291"/>
    <mergeCell ref="J2290:J2291"/>
    <mergeCell ref="K2290:K2291"/>
    <mergeCell ref="L2290:L2291"/>
    <mergeCell ref="M2290:M2291"/>
    <mergeCell ref="H2288:H2289"/>
    <mergeCell ref="I2288:I2289"/>
    <mergeCell ref="J2288:J2289"/>
    <mergeCell ref="K2288:K2289"/>
    <mergeCell ref="L2288:L2289"/>
    <mergeCell ref="M2288:M2289"/>
    <mergeCell ref="H2323:H2324"/>
    <mergeCell ref="I2323:I2324"/>
    <mergeCell ref="J2323:J2324"/>
    <mergeCell ref="K2323:K2324"/>
    <mergeCell ref="L2323:L2324"/>
    <mergeCell ref="M2323:M2324"/>
    <mergeCell ref="H2321:H2322"/>
    <mergeCell ref="I2321:I2322"/>
    <mergeCell ref="J2321:J2322"/>
    <mergeCell ref="K2321:K2322"/>
    <mergeCell ref="L2321:L2322"/>
    <mergeCell ref="M2321:M2322"/>
    <mergeCell ref="M2317:M2318"/>
    <mergeCell ref="N2317:O2317"/>
    <mergeCell ref="H2319:H2320"/>
    <mergeCell ref="I2319:I2320"/>
    <mergeCell ref="J2319:J2320"/>
    <mergeCell ref="K2319:K2320"/>
    <mergeCell ref="L2319:L2320"/>
    <mergeCell ref="M2319:M2320"/>
    <mergeCell ref="H2329:L2329"/>
    <mergeCell ref="H2330:L2330"/>
    <mergeCell ref="H2331:L2331"/>
    <mergeCell ref="H2337:K2337"/>
    <mergeCell ref="H2352:O2352"/>
    <mergeCell ref="H2354:H2355"/>
    <mergeCell ref="I2354:I2355"/>
    <mergeCell ref="J2354:J2355"/>
    <mergeCell ref="K2354:K2355"/>
    <mergeCell ref="L2354:L2355"/>
    <mergeCell ref="H2327:H2328"/>
    <mergeCell ref="I2327:I2328"/>
    <mergeCell ref="J2327:J2328"/>
    <mergeCell ref="K2327:K2328"/>
    <mergeCell ref="L2327:L2328"/>
    <mergeCell ref="M2327:M2328"/>
    <mergeCell ref="H2325:H2326"/>
    <mergeCell ref="I2325:I2326"/>
    <mergeCell ref="J2325:J2326"/>
    <mergeCell ref="K2325:K2326"/>
    <mergeCell ref="L2325:L2326"/>
    <mergeCell ref="M2325:M2326"/>
    <mergeCell ref="H2360:H2361"/>
    <mergeCell ref="I2360:I2361"/>
    <mergeCell ref="J2360:J2361"/>
    <mergeCell ref="K2360:K2361"/>
    <mergeCell ref="L2360:L2361"/>
    <mergeCell ref="M2360:M2361"/>
    <mergeCell ref="H2358:H2359"/>
    <mergeCell ref="I2358:I2359"/>
    <mergeCell ref="J2358:J2359"/>
    <mergeCell ref="K2358:K2359"/>
    <mergeCell ref="L2358:L2359"/>
    <mergeCell ref="M2358:M2359"/>
    <mergeCell ref="M2354:M2355"/>
    <mergeCell ref="N2354:O2354"/>
    <mergeCell ref="H2356:H2357"/>
    <mergeCell ref="I2356:I2357"/>
    <mergeCell ref="J2356:J2357"/>
    <mergeCell ref="K2356:K2357"/>
    <mergeCell ref="L2356:L2357"/>
    <mergeCell ref="M2356:M2357"/>
    <mergeCell ref="H2366:L2366"/>
    <mergeCell ref="H2367:L2367"/>
    <mergeCell ref="H2368:L2368"/>
    <mergeCell ref="H2374:K2374"/>
    <mergeCell ref="H2389:O2389"/>
    <mergeCell ref="H2391:H2392"/>
    <mergeCell ref="I2391:I2392"/>
    <mergeCell ref="J2391:J2392"/>
    <mergeCell ref="K2391:K2392"/>
    <mergeCell ref="L2391:L2392"/>
    <mergeCell ref="H2364:H2365"/>
    <mergeCell ref="I2364:I2365"/>
    <mergeCell ref="J2364:J2365"/>
    <mergeCell ref="K2364:K2365"/>
    <mergeCell ref="L2364:L2365"/>
    <mergeCell ref="M2364:M2365"/>
    <mergeCell ref="H2362:H2363"/>
    <mergeCell ref="I2362:I2363"/>
    <mergeCell ref="J2362:J2363"/>
    <mergeCell ref="K2362:K2363"/>
    <mergeCell ref="L2362:L2363"/>
    <mergeCell ref="M2362:M2363"/>
    <mergeCell ref="H2397:H2398"/>
    <mergeCell ref="I2397:I2398"/>
    <mergeCell ref="J2397:J2398"/>
    <mergeCell ref="K2397:K2398"/>
    <mergeCell ref="L2397:L2398"/>
    <mergeCell ref="M2397:M2398"/>
    <mergeCell ref="H2395:H2396"/>
    <mergeCell ref="I2395:I2396"/>
    <mergeCell ref="J2395:J2396"/>
    <mergeCell ref="K2395:K2396"/>
    <mergeCell ref="L2395:L2396"/>
    <mergeCell ref="M2395:M2396"/>
    <mergeCell ref="M2391:M2392"/>
    <mergeCell ref="N2391:O2391"/>
    <mergeCell ref="H2393:H2394"/>
    <mergeCell ref="I2393:I2394"/>
    <mergeCell ref="J2393:J2394"/>
    <mergeCell ref="K2393:K2394"/>
    <mergeCell ref="L2393:L2394"/>
    <mergeCell ref="M2393:M2394"/>
    <mergeCell ref="H2403:L2403"/>
    <mergeCell ref="H2404:L2404"/>
    <mergeCell ref="H2405:L2405"/>
    <mergeCell ref="H2411:K2411"/>
    <mergeCell ref="H2426:O2426"/>
    <mergeCell ref="H2428:H2429"/>
    <mergeCell ref="I2428:I2429"/>
    <mergeCell ref="J2428:J2429"/>
    <mergeCell ref="K2428:K2429"/>
    <mergeCell ref="L2428:L2429"/>
    <mergeCell ref="H2401:H2402"/>
    <mergeCell ref="I2401:I2402"/>
    <mergeCell ref="J2401:J2402"/>
    <mergeCell ref="K2401:K2402"/>
    <mergeCell ref="L2401:L2402"/>
    <mergeCell ref="M2401:M2402"/>
    <mergeCell ref="H2399:H2400"/>
    <mergeCell ref="I2399:I2400"/>
    <mergeCell ref="J2399:J2400"/>
    <mergeCell ref="K2399:K2400"/>
    <mergeCell ref="L2399:L2400"/>
    <mergeCell ref="M2399:M2400"/>
    <mergeCell ref="H2434:H2435"/>
    <mergeCell ref="I2434:I2435"/>
    <mergeCell ref="J2434:J2435"/>
    <mergeCell ref="K2434:K2435"/>
    <mergeCell ref="L2434:L2435"/>
    <mergeCell ref="M2434:M2435"/>
    <mergeCell ref="H2432:H2433"/>
    <mergeCell ref="I2432:I2433"/>
    <mergeCell ref="J2432:J2433"/>
    <mergeCell ref="K2432:K2433"/>
    <mergeCell ref="L2432:L2433"/>
    <mergeCell ref="M2432:M2433"/>
    <mergeCell ref="M2428:M2429"/>
    <mergeCell ref="N2428:O2428"/>
    <mergeCell ref="H2430:H2431"/>
    <mergeCell ref="I2430:I2431"/>
    <mergeCell ref="J2430:J2431"/>
    <mergeCell ref="K2430:K2431"/>
    <mergeCell ref="L2430:L2431"/>
    <mergeCell ref="M2430:M2431"/>
    <mergeCell ref="H2440:L2440"/>
    <mergeCell ref="H2441:L2441"/>
    <mergeCell ref="H2442:L2442"/>
    <mergeCell ref="H2448:K2448"/>
    <mergeCell ref="H2463:O2463"/>
    <mergeCell ref="H2465:H2466"/>
    <mergeCell ref="I2465:I2466"/>
    <mergeCell ref="J2465:J2466"/>
    <mergeCell ref="K2465:K2466"/>
    <mergeCell ref="L2465:L2466"/>
    <mergeCell ref="H2438:H2439"/>
    <mergeCell ref="I2438:I2439"/>
    <mergeCell ref="J2438:J2439"/>
    <mergeCell ref="K2438:K2439"/>
    <mergeCell ref="L2438:L2439"/>
    <mergeCell ref="M2438:M2439"/>
    <mergeCell ref="H2436:H2437"/>
    <mergeCell ref="I2436:I2437"/>
    <mergeCell ref="J2436:J2437"/>
    <mergeCell ref="K2436:K2437"/>
    <mergeCell ref="L2436:L2437"/>
    <mergeCell ref="M2436:M2437"/>
    <mergeCell ref="H2471:H2472"/>
    <mergeCell ref="I2471:I2472"/>
    <mergeCell ref="J2471:J2472"/>
    <mergeCell ref="K2471:K2472"/>
    <mergeCell ref="L2471:L2472"/>
    <mergeCell ref="M2471:M2472"/>
    <mergeCell ref="H2469:H2470"/>
    <mergeCell ref="I2469:I2470"/>
    <mergeCell ref="J2469:J2470"/>
    <mergeCell ref="K2469:K2470"/>
    <mergeCell ref="L2469:L2470"/>
    <mergeCell ref="M2469:M2470"/>
    <mergeCell ref="M2465:M2466"/>
    <mergeCell ref="N2465:O2465"/>
    <mergeCell ref="H2467:H2468"/>
    <mergeCell ref="I2467:I2468"/>
    <mergeCell ref="J2467:J2468"/>
    <mergeCell ref="K2467:K2468"/>
    <mergeCell ref="L2467:L2468"/>
    <mergeCell ref="M2467:M2468"/>
    <mergeCell ref="H2477:H2478"/>
    <mergeCell ref="I2477:I2478"/>
    <mergeCell ref="J2477:J2478"/>
    <mergeCell ref="K2477:K2478"/>
    <mergeCell ref="L2477:L2478"/>
    <mergeCell ref="M2477:M2478"/>
    <mergeCell ref="H2475:H2476"/>
    <mergeCell ref="I2475:I2476"/>
    <mergeCell ref="J2475:J2476"/>
    <mergeCell ref="K2475:K2476"/>
    <mergeCell ref="L2475:L2476"/>
    <mergeCell ref="M2475:M2476"/>
    <mergeCell ref="H2473:H2474"/>
    <mergeCell ref="I2473:I2474"/>
    <mergeCell ref="J2473:J2474"/>
    <mergeCell ref="K2473:K2474"/>
    <mergeCell ref="L2473:L2474"/>
    <mergeCell ref="M2473:M2474"/>
    <mergeCell ref="H2508:H2509"/>
    <mergeCell ref="I2508:I2509"/>
    <mergeCell ref="J2508:J2509"/>
    <mergeCell ref="K2508:K2509"/>
    <mergeCell ref="L2508:L2509"/>
    <mergeCell ref="M2508:M2509"/>
    <mergeCell ref="M2504:M2505"/>
    <mergeCell ref="N2504:O2504"/>
    <mergeCell ref="H2506:H2507"/>
    <mergeCell ref="I2506:I2507"/>
    <mergeCell ref="J2506:J2507"/>
    <mergeCell ref="K2506:K2507"/>
    <mergeCell ref="L2506:L2507"/>
    <mergeCell ref="M2506:M2507"/>
    <mergeCell ref="H2479:L2479"/>
    <mergeCell ref="H2480:L2480"/>
    <mergeCell ref="H2481:L2481"/>
    <mergeCell ref="H2487:K2487"/>
    <mergeCell ref="H2502:O2502"/>
    <mergeCell ref="H2504:H2505"/>
    <mergeCell ref="I2504:I2505"/>
    <mergeCell ref="J2504:J2505"/>
    <mergeCell ref="K2504:K2505"/>
    <mergeCell ref="L2504:L2505"/>
    <mergeCell ref="H2514:H2515"/>
    <mergeCell ref="I2514:I2515"/>
    <mergeCell ref="J2514:J2515"/>
    <mergeCell ref="K2514:K2515"/>
    <mergeCell ref="L2514:L2515"/>
    <mergeCell ref="M2514:M2515"/>
    <mergeCell ref="H2512:H2513"/>
    <mergeCell ref="I2512:I2513"/>
    <mergeCell ref="J2512:J2513"/>
    <mergeCell ref="K2512:K2513"/>
    <mergeCell ref="L2512:L2513"/>
    <mergeCell ref="M2512:M2513"/>
    <mergeCell ref="H2510:H2511"/>
    <mergeCell ref="I2510:I2511"/>
    <mergeCell ref="J2510:J2511"/>
    <mergeCell ref="K2510:K2511"/>
    <mergeCell ref="L2510:L2511"/>
    <mergeCell ref="M2510:M2511"/>
    <mergeCell ref="H2545:H2546"/>
    <mergeCell ref="I2545:I2546"/>
    <mergeCell ref="J2545:J2546"/>
    <mergeCell ref="K2545:K2546"/>
    <mergeCell ref="L2545:L2546"/>
    <mergeCell ref="M2545:M2546"/>
    <mergeCell ref="M2541:M2542"/>
    <mergeCell ref="N2541:O2541"/>
    <mergeCell ref="H2543:H2544"/>
    <mergeCell ref="I2543:I2544"/>
    <mergeCell ref="J2543:J2544"/>
    <mergeCell ref="K2543:K2544"/>
    <mergeCell ref="L2543:L2544"/>
    <mergeCell ref="M2543:M2544"/>
    <mergeCell ref="H2516:L2516"/>
    <mergeCell ref="H2517:L2517"/>
    <mergeCell ref="H2518:L2518"/>
    <mergeCell ref="H2524:K2524"/>
    <mergeCell ref="H2539:O2539"/>
    <mergeCell ref="H2541:H2542"/>
    <mergeCell ref="I2541:I2542"/>
    <mergeCell ref="J2541:J2542"/>
    <mergeCell ref="K2541:K2542"/>
    <mergeCell ref="L2541:L2542"/>
    <mergeCell ref="H2551:H2552"/>
    <mergeCell ref="I2551:I2552"/>
    <mergeCell ref="J2551:J2552"/>
    <mergeCell ref="K2551:K2552"/>
    <mergeCell ref="L2551:L2552"/>
    <mergeCell ref="M2551:M2552"/>
    <mergeCell ref="H2549:H2550"/>
    <mergeCell ref="I2549:I2550"/>
    <mergeCell ref="J2549:J2550"/>
    <mergeCell ref="K2549:K2550"/>
    <mergeCell ref="L2549:L2550"/>
    <mergeCell ref="M2549:M2550"/>
    <mergeCell ref="H2547:H2548"/>
    <mergeCell ref="I2547:I2548"/>
    <mergeCell ref="J2547:J2548"/>
    <mergeCell ref="K2547:K2548"/>
    <mergeCell ref="L2547:L2548"/>
    <mergeCell ref="M2547:M2548"/>
    <mergeCell ref="H2582:H2583"/>
    <mergeCell ref="I2582:I2583"/>
    <mergeCell ref="J2582:J2583"/>
    <mergeCell ref="K2582:K2583"/>
    <mergeCell ref="L2582:L2583"/>
    <mergeCell ref="M2582:M2583"/>
    <mergeCell ref="M2578:M2579"/>
    <mergeCell ref="N2578:O2578"/>
    <mergeCell ref="H2580:H2581"/>
    <mergeCell ref="I2580:I2581"/>
    <mergeCell ref="J2580:J2581"/>
    <mergeCell ref="K2580:K2581"/>
    <mergeCell ref="L2580:L2581"/>
    <mergeCell ref="M2580:M2581"/>
    <mergeCell ref="H2553:L2553"/>
    <mergeCell ref="H2554:L2554"/>
    <mergeCell ref="H2555:L2555"/>
    <mergeCell ref="H2561:K2561"/>
    <mergeCell ref="H2576:O2576"/>
    <mergeCell ref="H2578:H2579"/>
    <mergeCell ref="I2578:I2579"/>
    <mergeCell ref="J2578:J2579"/>
    <mergeCell ref="K2578:K2579"/>
    <mergeCell ref="L2578:L2579"/>
    <mergeCell ref="H2588:H2589"/>
    <mergeCell ref="I2588:I2589"/>
    <mergeCell ref="J2588:J2589"/>
    <mergeCell ref="K2588:K2589"/>
    <mergeCell ref="L2588:L2589"/>
    <mergeCell ref="M2588:M2589"/>
    <mergeCell ref="H2586:H2587"/>
    <mergeCell ref="I2586:I2587"/>
    <mergeCell ref="J2586:J2587"/>
    <mergeCell ref="K2586:K2587"/>
    <mergeCell ref="L2586:L2587"/>
    <mergeCell ref="M2586:M2587"/>
    <mergeCell ref="H2584:H2585"/>
    <mergeCell ref="I2584:I2585"/>
    <mergeCell ref="J2584:J2585"/>
    <mergeCell ref="K2584:K2585"/>
    <mergeCell ref="L2584:L2585"/>
    <mergeCell ref="M2584:M2585"/>
    <mergeCell ref="H2617:H2618"/>
    <mergeCell ref="I2617:I2618"/>
    <mergeCell ref="J2617:J2618"/>
    <mergeCell ref="K2617:K2618"/>
    <mergeCell ref="L2617:L2618"/>
    <mergeCell ref="M2617:M2618"/>
    <mergeCell ref="H2613:O2613"/>
    <mergeCell ref="H2615:H2616"/>
    <mergeCell ref="I2615:I2616"/>
    <mergeCell ref="J2615:J2616"/>
    <mergeCell ref="K2615:K2616"/>
    <mergeCell ref="L2615:L2616"/>
    <mergeCell ref="M2615:M2616"/>
    <mergeCell ref="N2615:O2615"/>
    <mergeCell ref="H2590:L2590"/>
    <mergeCell ref="H2591:L2591"/>
    <mergeCell ref="H2592:L2592"/>
    <mergeCell ref="H2598:K2598"/>
    <mergeCell ref="M2598:O2598"/>
    <mergeCell ref="M2603:O2603"/>
    <mergeCell ref="H2623:H2624"/>
    <mergeCell ref="I2623:I2624"/>
    <mergeCell ref="J2623:J2624"/>
    <mergeCell ref="K2623:K2624"/>
    <mergeCell ref="L2623:L2624"/>
    <mergeCell ref="M2623:M2624"/>
    <mergeCell ref="H2621:H2622"/>
    <mergeCell ref="I2621:I2622"/>
    <mergeCell ref="J2621:J2622"/>
    <mergeCell ref="K2621:K2622"/>
    <mergeCell ref="L2621:L2622"/>
    <mergeCell ref="M2621:M2622"/>
    <mergeCell ref="H2619:H2620"/>
    <mergeCell ref="I2619:I2620"/>
    <mergeCell ref="J2619:J2620"/>
    <mergeCell ref="K2619:K2620"/>
    <mergeCell ref="L2619:L2620"/>
    <mergeCell ref="M2619:M2620"/>
    <mergeCell ref="H2629:L2629"/>
    <mergeCell ref="H2630:L2630"/>
    <mergeCell ref="H2631:L2631"/>
    <mergeCell ref="H2637:K2637"/>
    <mergeCell ref="H2652:O2652"/>
    <mergeCell ref="H2654:H2655"/>
    <mergeCell ref="I2654:I2655"/>
    <mergeCell ref="J2654:J2655"/>
    <mergeCell ref="K2654:K2655"/>
    <mergeCell ref="L2654:L2655"/>
    <mergeCell ref="H2627:H2628"/>
    <mergeCell ref="I2627:I2628"/>
    <mergeCell ref="J2627:J2628"/>
    <mergeCell ref="K2627:K2628"/>
    <mergeCell ref="L2627:L2628"/>
    <mergeCell ref="M2627:M2628"/>
    <mergeCell ref="H2625:H2626"/>
    <mergeCell ref="I2625:I2626"/>
    <mergeCell ref="J2625:J2626"/>
    <mergeCell ref="K2625:K2626"/>
    <mergeCell ref="L2625:L2626"/>
    <mergeCell ref="M2625:M2626"/>
    <mergeCell ref="H2660:H2661"/>
    <mergeCell ref="I2660:I2661"/>
    <mergeCell ref="J2660:J2661"/>
    <mergeCell ref="K2660:K2661"/>
    <mergeCell ref="L2660:L2661"/>
    <mergeCell ref="M2660:M2661"/>
    <mergeCell ref="H2658:H2659"/>
    <mergeCell ref="I2658:I2659"/>
    <mergeCell ref="J2658:J2659"/>
    <mergeCell ref="K2658:K2659"/>
    <mergeCell ref="L2658:L2659"/>
    <mergeCell ref="M2658:M2659"/>
    <mergeCell ref="M2654:M2655"/>
    <mergeCell ref="N2654:O2654"/>
    <mergeCell ref="H2656:H2657"/>
    <mergeCell ref="I2656:I2657"/>
    <mergeCell ref="J2656:J2657"/>
    <mergeCell ref="K2656:K2657"/>
    <mergeCell ref="L2656:L2657"/>
    <mergeCell ref="M2656:M2657"/>
    <mergeCell ref="H2666:L2666"/>
    <mergeCell ref="H2667:L2667"/>
    <mergeCell ref="H2668:L2668"/>
    <mergeCell ref="H2674:K2674"/>
    <mergeCell ref="H2689:O2689"/>
    <mergeCell ref="H2691:H2692"/>
    <mergeCell ref="I2691:I2692"/>
    <mergeCell ref="J2691:J2692"/>
    <mergeCell ref="K2691:K2692"/>
    <mergeCell ref="L2691:L2692"/>
    <mergeCell ref="H2664:H2665"/>
    <mergeCell ref="I2664:I2665"/>
    <mergeCell ref="J2664:J2665"/>
    <mergeCell ref="K2664:K2665"/>
    <mergeCell ref="L2664:L2665"/>
    <mergeCell ref="M2664:M2665"/>
    <mergeCell ref="H2662:H2663"/>
    <mergeCell ref="I2662:I2663"/>
    <mergeCell ref="J2662:J2663"/>
    <mergeCell ref="K2662:K2663"/>
    <mergeCell ref="L2662:L2663"/>
    <mergeCell ref="M2662:M2663"/>
    <mergeCell ref="H2697:H2698"/>
    <mergeCell ref="I2697:I2698"/>
    <mergeCell ref="J2697:J2698"/>
    <mergeCell ref="K2697:K2698"/>
    <mergeCell ref="L2697:L2698"/>
    <mergeCell ref="M2697:M2698"/>
    <mergeCell ref="H2695:H2696"/>
    <mergeCell ref="I2695:I2696"/>
    <mergeCell ref="J2695:J2696"/>
    <mergeCell ref="K2695:K2696"/>
    <mergeCell ref="L2695:L2696"/>
    <mergeCell ref="M2695:M2696"/>
    <mergeCell ref="M2691:M2692"/>
    <mergeCell ref="N2691:O2691"/>
    <mergeCell ref="H2693:H2694"/>
    <mergeCell ref="I2693:I2694"/>
    <mergeCell ref="J2693:J2694"/>
    <mergeCell ref="K2693:K2694"/>
    <mergeCell ref="L2693:L2694"/>
    <mergeCell ref="M2693:M2694"/>
    <mergeCell ref="H2703:L2703"/>
    <mergeCell ref="H2704:L2704"/>
    <mergeCell ref="H2705:L2705"/>
    <mergeCell ref="H2711:K2711"/>
    <mergeCell ref="H2726:O2726"/>
    <mergeCell ref="H2728:H2729"/>
    <mergeCell ref="I2728:I2729"/>
    <mergeCell ref="J2728:J2729"/>
    <mergeCell ref="K2728:K2729"/>
    <mergeCell ref="L2728:L2729"/>
    <mergeCell ref="H2701:H2702"/>
    <mergeCell ref="I2701:I2702"/>
    <mergeCell ref="J2701:J2702"/>
    <mergeCell ref="K2701:K2702"/>
    <mergeCell ref="L2701:L2702"/>
    <mergeCell ref="M2701:M2702"/>
    <mergeCell ref="H2699:H2700"/>
    <mergeCell ref="I2699:I2700"/>
    <mergeCell ref="J2699:J2700"/>
    <mergeCell ref="K2699:K2700"/>
    <mergeCell ref="L2699:L2700"/>
    <mergeCell ref="M2699:M2700"/>
    <mergeCell ref="H2734:H2735"/>
    <mergeCell ref="I2734:I2735"/>
    <mergeCell ref="J2734:J2735"/>
    <mergeCell ref="K2734:K2735"/>
    <mergeCell ref="L2734:L2735"/>
    <mergeCell ref="M2734:M2735"/>
    <mergeCell ref="H2732:H2733"/>
    <mergeCell ref="I2732:I2733"/>
    <mergeCell ref="J2732:J2733"/>
    <mergeCell ref="K2732:K2733"/>
    <mergeCell ref="L2732:L2733"/>
    <mergeCell ref="M2732:M2733"/>
    <mergeCell ref="M2728:M2729"/>
    <mergeCell ref="N2728:O2728"/>
    <mergeCell ref="H2730:H2731"/>
    <mergeCell ref="I2730:I2731"/>
    <mergeCell ref="J2730:J2731"/>
    <mergeCell ref="K2730:K2731"/>
    <mergeCell ref="L2730:L2731"/>
    <mergeCell ref="M2730:M2731"/>
    <mergeCell ref="H2740:L2740"/>
    <mergeCell ref="H2741:L2741"/>
    <mergeCell ref="H2742:L2742"/>
    <mergeCell ref="H2748:K2748"/>
    <mergeCell ref="H2763:O2763"/>
    <mergeCell ref="H2765:H2766"/>
    <mergeCell ref="I2765:I2766"/>
    <mergeCell ref="J2765:J2766"/>
    <mergeCell ref="K2765:K2766"/>
    <mergeCell ref="L2765:L2766"/>
    <mergeCell ref="H2738:H2739"/>
    <mergeCell ref="I2738:I2739"/>
    <mergeCell ref="J2738:J2739"/>
    <mergeCell ref="K2738:K2739"/>
    <mergeCell ref="L2738:L2739"/>
    <mergeCell ref="M2738:M2739"/>
    <mergeCell ref="H2736:H2737"/>
    <mergeCell ref="I2736:I2737"/>
    <mergeCell ref="J2736:J2737"/>
    <mergeCell ref="K2736:K2737"/>
    <mergeCell ref="L2736:L2737"/>
    <mergeCell ref="M2736:M2737"/>
    <mergeCell ref="H2771:H2772"/>
    <mergeCell ref="I2771:I2772"/>
    <mergeCell ref="J2771:J2772"/>
    <mergeCell ref="K2771:K2772"/>
    <mergeCell ref="L2771:L2772"/>
    <mergeCell ref="M2771:M2772"/>
    <mergeCell ref="H2769:H2770"/>
    <mergeCell ref="I2769:I2770"/>
    <mergeCell ref="J2769:J2770"/>
    <mergeCell ref="K2769:K2770"/>
    <mergeCell ref="L2769:L2770"/>
    <mergeCell ref="M2769:M2770"/>
    <mergeCell ref="M2765:M2766"/>
    <mergeCell ref="N2765:O2765"/>
    <mergeCell ref="H2767:H2768"/>
    <mergeCell ref="I2767:I2768"/>
    <mergeCell ref="J2767:J2768"/>
    <mergeCell ref="K2767:K2768"/>
    <mergeCell ref="L2767:L2768"/>
    <mergeCell ref="M2767:M2768"/>
    <mergeCell ref="H2777:L2777"/>
    <mergeCell ref="H2778:L2778"/>
    <mergeCell ref="H2779:L2779"/>
    <mergeCell ref="H2785:K2785"/>
    <mergeCell ref="H2800:O2800"/>
    <mergeCell ref="H2802:H2803"/>
    <mergeCell ref="I2802:I2803"/>
    <mergeCell ref="J2802:J2803"/>
    <mergeCell ref="K2802:K2803"/>
    <mergeCell ref="L2802:L2803"/>
    <mergeCell ref="H2775:H2776"/>
    <mergeCell ref="I2775:I2776"/>
    <mergeCell ref="J2775:J2776"/>
    <mergeCell ref="K2775:K2776"/>
    <mergeCell ref="L2775:L2776"/>
    <mergeCell ref="M2775:M2776"/>
    <mergeCell ref="H2773:H2774"/>
    <mergeCell ref="I2773:I2774"/>
    <mergeCell ref="J2773:J2774"/>
    <mergeCell ref="K2773:K2774"/>
    <mergeCell ref="L2773:L2774"/>
    <mergeCell ref="M2773:M2774"/>
    <mergeCell ref="H2808:H2809"/>
    <mergeCell ref="I2808:I2809"/>
    <mergeCell ref="J2808:J2809"/>
    <mergeCell ref="K2808:K2809"/>
    <mergeCell ref="L2808:L2809"/>
    <mergeCell ref="M2808:M2809"/>
    <mergeCell ref="H2806:H2807"/>
    <mergeCell ref="I2806:I2807"/>
    <mergeCell ref="J2806:J2807"/>
    <mergeCell ref="K2806:K2807"/>
    <mergeCell ref="L2806:L2807"/>
    <mergeCell ref="M2806:M2807"/>
    <mergeCell ref="M2802:M2803"/>
    <mergeCell ref="N2802:O2802"/>
    <mergeCell ref="H2804:H2805"/>
    <mergeCell ref="I2804:I2805"/>
    <mergeCell ref="J2804:J2805"/>
    <mergeCell ref="K2804:K2805"/>
    <mergeCell ref="L2804:L2805"/>
    <mergeCell ref="M2804:M2805"/>
    <mergeCell ref="H2814:H2815"/>
    <mergeCell ref="I2814:I2815"/>
    <mergeCell ref="J2814:J2815"/>
    <mergeCell ref="K2814:K2815"/>
    <mergeCell ref="L2814:L2815"/>
    <mergeCell ref="M2814:M2815"/>
    <mergeCell ref="H2812:H2813"/>
    <mergeCell ref="I2812:I2813"/>
    <mergeCell ref="J2812:J2813"/>
    <mergeCell ref="K2812:K2813"/>
    <mergeCell ref="L2812:L2813"/>
    <mergeCell ref="M2812:M2813"/>
    <mergeCell ref="H2810:H2811"/>
    <mergeCell ref="I2810:I2811"/>
    <mergeCell ref="J2810:J2811"/>
    <mergeCell ref="K2810:K2811"/>
    <mergeCell ref="L2810:L2811"/>
    <mergeCell ref="M2810:M2811"/>
    <mergeCell ref="M2841:M2842"/>
    <mergeCell ref="N2841:O2841"/>
    <mergeCell ref="H2843:H2844"/>
    <mergeCell ref="I2843:I2844"/>
    <mergeCell ref="J2843:J2844"/>
    <mergeCell ref="K2843:K2844"/>
    <mergeCell ref="L2843:L2844"/>
    <mergeCell ref="M2843:M2844"/>
    <mergeCell ref="H2816:L2816"/>
    <mergeCell ref="H2817:L2817"/>
    <mergeCell ref="H2818:L2818"/>
    <mergeCell ref="H2824:K2824"/>
    <mergeCell ref="H2839:O2839"/>
    <mergeCell ref="H2841:H2842"/>
    <mergeCell ref="I2841:I2842"/>
    <mergeCell ref="J2841:J2842"/>
    <mergeCell ref="K2841:K2842"/>
    <mergeCell ref="L2841:L2842"/>
    <mergeCell ref="H2849:H2850"/>
    <mergeCell ref="I2849:I2850"/>
    <mergeCell ref="J2849:J2850"/>
    <mergeCell ref="K2849:K2850"/>
    <mergeCell ref="L2849:L2850"/>
    <mergeCell ref="M2849:M2850"/>
    <mergeCell ref="H2847:H2848"/>
    <mergeCell ref="I2847:I2848"/>
    <mergeCell ref="J2847:J2848"/>
    <mergeCell ref="K2847:K2848"/>
    <mergeCell ref="L2847:L2848"/>
    <mergeCell ref="M2847:M2848"/>
    <mergeCell ref="H2845:H2846"/>
    <mergeCell ref="I2845:I2846"/>
    <mergeCell ref="J2845:J2846"/>
    <mergeCell ref="K2845:K2846"/>
    <mergeCell ref="L2845:L2846"/>
    <mergeCell ref="M2845:M2846"/>
    <mergeCell ref="H2855:L2855"/>
    <mergeCell ref="H2856:L2856"/>
    <mergeCell ref="H2857:L2857"/>
    <mergeCell ref="H2863:K2863"/>
    <mergeCell ref="H2878:O2878"/>
    <mergeCell ref="H2880:H2881"/>
    <mergeCell ref="I2880:I2881"/>
    <mergeCell ref="J2880:J2881"/>
    <mergeCell ref="K2880:K2881"/>
    <mergeCell ref="L2880:L2881"/>
    <mergeCell ref="H2853:H2854"/>
    <mergeCell ref="I2853:I2854"/>
    <mergeCell ref="J2853:J2854"/>
    <mergeCell ref="K2853:K2854"/>
    <mergeCell ref="L2853:L2854"/>
    <mergeCell ref="M2853:M2854"/>
    <mergeCell ref="H2851:H2852"/>
    <mergeCell ref="I2851:I2852"/>
    <mergeCell ref="J2851:J2852"/>
    <mergeCell ref="K2851:K2852"/>
    <mergeCell ref="L2851:L2852"/>
    <mergeCell ref="M2851:M2852"/>
    <mergeCell ref="H2886:H2887"/>
    <mergeCell ref="I2886:I2887"/>
    <mergeCell ref="J2886:J2887"/>
    <mergeCell ref="K2886:K2887"/>
    <mergeCell ref="L2886:L2887"/>
    <mergeCell ref="M2886:M2887"/>
    <mergeCell ref="H2884:H2885"/>
    <mergeCell ref="I2884:I2885"/>
    <mergeCell ref="J2884:J2885"/>
    <mergeCell ref="K2884:K2885"/>
    <mergeCell ref="L2884:L2885"/>
    <mergeCell ref="M2884:M2885"/>
    <mergeCell ref="M2880:M2881"/>
    <mergeCell ref="N2880:O2880"/>
    <mergeCell ref="H2882:H2883"/>
    <mergeCell ref="I2882:I2883"/>
    <mergeCell ref="J2882:J2883"/>
    <mergeCell ref="K2882:K2883"/>
    <mergeCell ref="L2882:L2883"/>
    <mergeCell ref="M2882:M2883"/>
    <mergeCell ref="H2892:L2892"/>
    <mergeCell ref="H2893:L2893"/>
    <mergeCell ref="H2894:L2894"/>
    <mergeCell ref="H2900:K2900"/>
    <mergeCell ref="H2915:O2915"/>
    <mergeCell ref="H2917:H2918"/>
    <mergeCell ref="I2917:I2918"/>
    <mergeCell ref="J2917:J2918"/>
    <mergeCell ref="K2917:K2918"/>
    <mergeCell ref="L2917:L2918"/>
    <mergeCell ref="H2890:H2891"/>
    <mergeCell ref="I2890:I2891"/>
    <mergeCell ref="J2890:J2891"/>
    <mergeCell ref="K2890:K2891"/>
    <mergeCell ref="L2890:L2891"/>
    <mergeCell ref="M2890:M2891"/>
    <mergeCell ref="H2888:H2889"/>
    <mergeCell ref="I2888:I2889"/>
    <mergeCell ref="J2888:J2889"/>
    <mergeCell ref="K2888:K2889"/>
    <mergeCell ref="L2888:L2889"/>
    <mergeCell ref="M2888:M2889"/>
    <mergeCell ref="H2923:H2924"/>
    <mergeCell ref="I2923:I2924"/>
    <mergeCell ref="J2923:J2924"/>
    <mergeCell ref="K2923:K2924"/>
    <mergeCell ref="L2923:L2924"/>
    <mergeCell ref="M2923:M2924"/>
    <mergeCell ref="H2921:H2922"/>
    <mergeCell ref="I2921:I2922"/>
    <mergeCell ref="J2921:J2922"/>
    <mergeCell ref="K2921:K2922"/>
    <mergeCell ref="L2921:L2922"/>
    <mergeCell ref="M2921:M2922"/>
    <mergeCell ref="M2917:M2918"/>
    <mergeCell ref="N2917:O2917"/>
    <mergeCell ref="H2919:H2920"/>
    <mergeCell ref="I2919:I2920"/>
    <mergeCell ref="J2919:J2920"/>
    <mergeCell ref="K2919:K2920"/>
    <mergeCell ref="L2919:L2920"/>
    <mergeCell ref="M2919:M2920"/>
    <mergeCell ref="H2929:L2929"/>
    <mergeCell ref="H2930:L2930"/>
    <mergeCell ref="H2931:L2931"/>
    <mergeCell ref="H2937:K2937"/>
    <mergeCell ref="H2952:O2952"/>
    <mergeCell ref="H2954:H2955"/>
    <mergeCell ref="I2954:I2955"/>
    <mergeCell ref="J2954:J2955"/>
    <mergeCell ref="K2954:K2955"/>
    <mergeCell ref="L2954:L2955"/>
    <mergeCell ref="H2927:H2928"/>
    <mergeCell ref="I2927:I2928"/>
    <mergeCell ref="J2927:J2928"/>
    <mergeCell ref="K2927:K2928"/>
    <mergeCell ref="L2927:L2928"/>
    <mergeCell ref="M2927:M2928"/>
    <mergeCell ref="H2925:H2926"/>
    <mergeCell ref="I2925:I2926"/>
    <mergeCell ref="J2925:J2926"/>
    <mergeCell ref="K2925:K2926"/>
    <mergeCell ref="L2925:L2926"/>
    <mergeCell ref="M2925:M2926"/>
    <mergeCell ref="H2960:H2961"/>
    <mergeCell ref="I2960:I2961"/>
    <mergeCell ref="J2960:J2961"/>
    <mergeCell ref="K2960:K2961"/>
    <mergeCell ref="L2960:L2961"/>
    <mergeCell ref="M2960:M2961"/>
    <mergeCell ref="H2958:H2959"/>
    <mergeCell ref="I2958:I2959"/>
    <mergeCell ref="J2958:J2959"/>
    <mergeCell ref="K2958:K2959"/>
    <mergeCell ref="L2958:L2959"/>
    <mergeCell ref="M2958:M2959"/>
    <mergeCell ref="M2954:M2955"/>
    <mergeCell ref="N2954:O2954"/>
    <mergeCell ref="H2956:H2957"/>
    <mergeCell ref="I2956:I2957"/>
    <mergeCell ref="J2956:J2957"/>
    <mergeCell ref="K2956:K2957"/>
    <mergeCell ref="L2956:L2957"/>
    <mergeCell ref="M2956:M2957"/>
    <mergeCell ref="H2966:L2966"/>
    <mergeCell ref="H2967:L2967"/>
    <mergeCell ref="H2968:L2968"/>
    <mergeCell ref="H2974:K2974"/>
    <mergeCell ref="H2989:O2989"/>
    <mergeCell ref="H2991:H2992"/>
    <mergeCell ref="I2991:I2992"/>
    <mergeCell ref="J2991:J2992"/>
    <mergeCell ref="K2991:K2992"/>
    <mergeCell ref="L2991:L2992"/>
    <mergeCell ref="H2964:H2965"/>
    <mergeCell ref="I2964:I2965"/>
    <mergeCell ref="J2964:J2965"/>
    <mergeCell ref="K2964:K2965"/>
    <mergeCell ref="L2964:L2965"/>
    <mergeCell ref="M2964:M2965"/>
    <mergeCell ref="H2962:H2963"/>
    <mergeCell ref="I2962:I2963"/>
    <mergeCell ref="J2962:J2963"/>
    <mergeCell ref="K2962:K2963"/>
    <mergeCell ref="L2962:L2963"/>
    <mergeCell ref="M2962:M2963"/>
    <mergeCell ref="H2997:H2998"/>
    <mergeCell ref="I2997:I2998"/>
    <mergeCell ref="J2997:J2998"/>
    <mergeCell ref="K2997:K2998"/>
    <mergeCell ref="L2997:L2998"/>
    <mergeCell ref="M2997:M2998"/>
    <mergeCell ref="H2995:H2996"/>
    <mergeCell ref="I2995:I2996"/>
    <mergeCell ref="J2995:J2996"/>
    <mergeCell ref="K2995:K2996"/>
    <mergeCell ref="L2995:L2996"/>
    <mergeCell ref="M2995:M2996"/>
    <mergeCell ref="M2991:M2992"/>
    <mergeCell ref="N2991:O2991"/>
    <mergeCell ref="H2993:H2994"/>
    <mergeCell ref="I2993:I2994"/>
    <mergeCell ref="J2993:J2994"/>
    <mergeCell ref="K2993:K2994"/>
    <mergeCell ref="L2993:L2994"/>
    <mergeCell ref="M2993:M2994"/>
    <mergeCell ref="H3003:L3003"/>
    <mergeCell ref="H3004:L3004"/>
    <mergeCell ref="H3005:L3005"/>
    <mergeCell ref="H3011:K3011"/>
    <mergeCell ref="H3026:O3026"/>
    <mergeCell ref="H3028:H3029"/>
    <mergeCell ref="I3028:I3029"/>
    <mergeCell ref="J3028:J3029"/>
    <mergeCell ref="K3028:K3029"/>
    <mergeCell ref="L3028:L3029"/>
    <mergeCell ref="H3001:H3002"/>
    <mergeCell ref="I3001:I3002"/>
    <mergeCell ref="J3001:J3002"/>
    <mergeCell ref="K3001:K3002"/>
    <mergeCell ref="L3001:L3002"/>
    <mergeCell ref="M3001:M3002"/>
    <mergeCell ref="H2999:H3000"/>
    <mergeCell ref="I2999:I3000"/>
    <mergeCell ref="J2999:J3000"/>
    <mergeCell ref="K2999:K3000"/>
    <mergeCell ref="L2999:L3000"/>
    <mergeCell ref="M2999:M3000"/>
    <mergeCell ref="H3034:H3035"/>
    <mergeCell ref="I3034:I3035"/>
    <mergeCell ref="J3034:J3035"/>
    <mergeCell ref="K3034:K3035"/>
    <mergeCell ref="L3034:L3035"/>
    <mergeCell ref="M3034:M3035"/>
    <mergeCell ref="H3032:H3033"/>
    <mergeCell ref="I3032:I3033"/>
    <mergeCell ref="J3032:J3033"/>
    <mergeCell ref="K3032:K3033"/>
    <mergeCell ref="L3032:L3033"/>
    <mergeCell ref="M3032:M3033"/>
    <mergeCell ref="M3028:M3029"/>
    <mergeCell ref="N3028:O3028"/>
    <mergeCell ref="H3030:H3031"/>
    <mergeCell ref="I3030:I3031"/>
    <mergeCell ref="J3030:J3031"/>
    <mergeCell ref="K3030:K3031"/>
    <mergeCell ref="L3030:L3031"/>
    <mergeCell ref="M3030:M3031"/>
    <mergeCell ref="H3040:L3040"/>
    <mergeCell ref="H3041:L3041"/>
    <mergeCell ref="H3042:L3042"/>
    <mergeCell ref="H3048:K3048"/>
    <mergeCell ref="H3063:O3063"/>
    <mergeCell ref="H3065:H3066"/>
    <mergeCell ref="I3065:I3066"/>
    <mergeCell ref="J3065:J3066"/>
    <mergeCell ref="K3065:K3066"/>
    <mergeCell ref="L3065:L3066"/>
    <mergeCell ref="H3038:H3039"/>
    <mergeCell ref="I3038:I3039"/>
    <mergeCell ref="J3038:J3039"/>
    <mergeCell ref="K3038:K3039"/>
    <mergeCell ref="L3038:L3039"/>
    <mergeCell ref="M3038:M3039"/>
    <mergeCell ref="H3036:H3037"/>
    <mergeCell ref="I3036:I3037"/>
    <mergeCell ref="J3036:J3037"/>
    <mergeCell ref="K3036:K3037"/>
    <mergeCell ref="L3036:L3037"/>
    <mergeCell ref="M3036:M3037"/>
    <mergeCell ref="H3071:H3072"/>
    <mergeCell ref="I3071:I3072"/>
    <mergeCell ref="J3071:J3072"/>
    <mergeCell ref="K3071:K3072"/>
    <mergeCell ref="L3071:L3072"/>
    <mergeCell ref="M3071:M3072"/>
    <mergeCell ref="H3069:H3070"/>
    <mergeCell ref="I3069:I3070"/>
    <mergeCell ref="J3069:J3070"/>
    <mergeCell ref="K3069:K3070"/>
    <mergeCell ref="L3069:L3070"/>
    <mergeCell ref="M3069:M3070"/>
    <mergeCell ref="M3065:M3066"/>
    <mergeCell ref="N3065:O3065"/>
    <mergeCell ref="H3067:H3068"/>
    <mergeCell ref="I3067:I3068"/>
    <mergeCell ref="J3067:J3068"/>
    <mergeCell ref="K3067:K3068"/>
    <mergeCell ref="L3067:L3068"/>
    <mergeCell ref="M3067:M3068"/>
    <mergeCell ref="H3077:L3077"/>
    <mergeCell ref="H3078:L3078"/>
    <mergeCell ref="H3079:L3079"/>
    <mergeCell ref="H3085:K3085"/>
    <mergeCell ref="H3100:O3100"/>
    <mergeCell ref="H3102:H3103"/>
    <mergeCell ref="I3102:I3103"/>
    <mergeCell ref="J3102:J3103"/>
    <mergeCell ref="K3102:K3103"/>
    <mergeCell ref="L3102:L3103"/>
    <mergeCell ref="H3075:H3076"/>
    <mergeCell ref="I3075:I3076"/>
    <mergeCell ref="J3075:J3076"/>
    <mergeCell ref="K3075:K3076"/>
    <mergeCell ref="L3075:L3076"/>
    <mergeCell ref="M3075:M3076"/>
    <mergeCell ref="H3073:H3074"/>
    <mergeCell ref="I3073:I3074"/>
    <mergeCell ref="J3073:J3074"/>
    <mergeCell ref="K3073:K3074"/>
    <mergeCell ref="L3073:L3074"/>
    <mergeCell ref="M3073:M3074"/>
    <mergeCell ref="H3108:H3109"/>
    <mergeCell ref="I3108:I3109"/>
    <mergeCell ref="J3108:J3109"/>
    <mergeCell ref="K3108:K3109"/>
    <mergeCell ref="L3108:L3109"/>
    <mergeCell ref="M3108:M3109"/>
    <mergeCell ref="H3106:H3107"/>
    <mergeCell ref="I3106:I3107"/>
    <mergeCell ref="J3106:J3107"/>
    <mergeCell ref="K3106:K3107"/>
    <mergeCell ref="L3106:L3107"/>
    <mergeCell ref="M3106:M3107"/>
    <mergeCell ref="M3102:M3103"/>
    <mergeCell ref="N3102:O3102"/>
    <mergeCell ref="H3104:H3105"/>
    <mergeCell ref="I3104:I3105"/>
    <mergeCell ref="J3104:J3105"/>
    <mergeCell ref="K3104:K3105"/>
    <mergeCell ref="L3104:L3105"/>
    <mergeCell ref="M3104:M3105"/>
    <mergeCell ref="H3114:L3114"/>
    <mergeCell ref="H3115:L3115"/>
    <mergeCell ref="H3116:L3116"/>
    <mergeCell ref="H3122:K3122"/>
    <mergeCell ref="H3137:O3137"/>
    <mergeCell ref="H3139:H3140"/>
    <mergeCell ref="I3139:I3140"/>
    <mergeCell ref="J3139:J3140"/>
    <mergeCell ref="K3139:K3140"/>
    <mergeCell ref="L3139:L3140"/>
    <mergeCell ref="H3112:H3113"/>
    <mergeCell ref="I3112:I3113"/>
    <mergeCell ref="J3112:J3113"/>
    <mergeCell ref="K3112:K3113"/>
    <mergeCell ref="L3112:L3113"/>
    <mergeCell ref="M3112:M3113"/>
    <mergeCell ref="H3110:H3111"/>
    <mergeCell ref="I3110:I3111"/>
    <mergeCell ref="J3110:J3111"/>
    <mergeCell ref="K3110:K3111"/>
    <mergeCell ref="L3110:L3111"/>
    <mergeCell ref="M3110:M3111"/>
    <mergeCell ref="H3145:H3146"/>
    <mergeCell ref="I3145:I3146"/>
    <mergeCell ref="J3145:J3146"/>
    <mergeCell ref="K3145:K3146"/>
    <mergeCell ref="L3145:L3146"/>
    <mergeCell ref="M3145:M3146"/>
    <mergeCell ref="H3143:H3144"/>
    <mergeCell ref="I3143:I3144"/>
    <mergeCell ref="J3143:J3144"/>
    <mergeCell ref="K3143:K3144"/>
    <mergeCell ref="L3143:L3144"/>
    <mergeCell ref="M3143:M3144"/>
    <mergeCell ref="M3139:M3140"/>
    <mergeCell ref="N3139:O3139"/>
    <mergeCell ref="H3141:H3142"/>
    <mergeCell ref="I3141:I3142"/>
    <mergeCell ref="J3141:J3142"/>
    <mergeCell ref="K3141:K3142"/>
    <mergeCell ref="L3141:L3142"/>
    <mergeCell ref="M3141:M3142"/>
    <mergeCell ref="H3151:L3151"/>
    <mergeCell ref="H3152:L3152"/>
    <mergeCell ref="H3153:L3153"/>
    <mergeCell ref="H3159:K3159"/>
    <mergeCell ref="H3174:O3174"/>
    <mergeCell ref="H3176:H3177"/>
    <mergeCell ref="I3176:I3177"/>
    <mergeCell ref="J3176:J3177"/>
    <mergeCell ref="K3176:K3177"/>
    <mergeCell ref="L3176:L3177"/>
    <mergeCell ref="H3149:H3150"/>
    <mergeCell ref="I3149:I3150"/>
    <mergeCell ref="J3149:J3150"/>
    <mergeCell ref="K3149:K3150"/>
    <mergeCell ref="L3149:L3150"/>
    <mergeCell ref="M3149:M3150"/>
    <mergeCell ref="H3147:H3148"/>
    <mergeCell ref="I3147:I3148"/>
    <mergeCell ref="J3147:J3148"/>
    <mergeCell ref="K3147:K3148"/>
    <mergeCell ref="L3147:L3148"/>
    <mergeCell ref="M3147:M3148"/>
    <mergeCell ref="H3182:H3183"/>
    <mergeCell ref="I3182:I3183"/>
    <mergeCell ref="J3182:J3183"/>
    <mergeCell ref="K3182:K3183"/>
    <mergeCell ref="L3182:L3183"/>
    <mergeCell ref="M3182:M3183"/>
    <mergeCell ref="H3180:H3181"/>
    <mergeCell ref="I3180:I3181"/>
    <mergeCell ref="J3180:J3181"/>
    <mergeCell ref="K3180:K3181"/>
    <mergeCell ref="L3180:L3181"/>
    <mergeCell ref="M3180:M3181"/>
    <mergeCell ref="M3176:M3177"/>
    <mergeCell ref="N3176:O3176"/>
    <mergeCell ref="H3178:H3179"/>
    <mergeCell ref="I3178:I3179"/>
    <mergeCell ref="J3178:J3179"/>
    <mergeCell ref="K3178:K3179"/>
    <mergeCell ref="L3178:L3179"/>
    <mergeCell ref="M3178:M3179"/>
    <mergeCell ref="H3188:H3189"/>
    <mergeCell ref="I3188:I3189"/>
    <mergeCell ref="J3188:J3189"/>
    <mergeCell ref="K3188:K3189"/>
    <mergeCell ref="L3188:L3189"/>
    <mergeCell ref="M3188:M3189"/>
    <mergeCell ref="H3186:H3187"/>
    <mergeCell ref="I3186:I3187"/>
    <mergeCell ref="J3186:J3187"/>
    <mergeCell ref="K3186:K3187"/>
    <mergeCell ref="L3186:L3187"/>
    <mergeCell ref="M3186:M3187"/>
    <mergeCell ref="H3184:H3185"/>
    <mergeCell ref="I3184:I3185"/>
    <mergeCell ref="J3184:J3185"/>
    <mergeCell ref="K3184:K3185"/>
    <mergeCell ref="L3184:L3185"/>
    <mergeCell ref="M3184:M3185"/>
    <mergeCell ref="M3215:M3216"/>
    <mergeCell ref="N3215:O3215"/>
    <mergeCell ref="H3217:H3218"/>
    <mergeCell ref="I3217:I3218"/>
    <mergeCell ref="J3217:J3218"/>
    <mergeCell ref="K3217:K3218"/>
    <mergeCell ref="L3217:L3218"/>
    <mergeCell ref="M3217:M3218"/>
    <mergeCell ref="H3190:L3190"/>
    <mergeCell ref="H3191:L3191"/>
    <mergeCell ref="H3192:L3192"/>
    <mergeCell ref="H3198:K3198"/>
    <mergeCell ref="H3213:O3213"/>
    <mergeCell ref="H3215:H3216"/>
    <mergeCell ref="I3215:I3216"/>
    <mergeCell ref="J3215:J3216"/>
    <mergeCell ref="K3215:K3216"/>
    <mergeCell ref="L3215:L3216"/>
    <mergeCell ref="Q3221:Q3222"/>
    <mergeCell ref="H3223:H3224"/>
    <mergeCell ref="I3223:I3224"/>
    <mergeCell ref="J3223:J3224"/>
    <mergeCell ref="K3223:K3224"/>
    <mergeCell ref="L3223:L3224"/>
    <mergeCell ref="M3223:M3224"/>
    <mergeCell ref="H3221:H3222"/>
    <mergeCell ref="I3221:I3222"/>
    <mergeCell ref="J3221:J3222"/>
    <mergeCell ref="K3221:K3222"/>
    <mergeCell ref="L3221:L3222"/>
    <mergeCell ref="M3221:M3222"/>
    <mergeCell ref="H3219:H3220"/>
    <mergeCell ref="I3219:I3220"/>
    <mergeCell ref="J3219:J3220"/>
    <mergeCell ref="K3219:K3220"/>
    <mergeCell ref="L3219:L3220"/>
    <mergeCell ref="M3219:M3220"/>
    <mergeCell ref="M3250:M3251"/>
    <mergeCell ref="N3250:O3250"/>
    <mergeCell ref="H3252:H3253"/>
    <mergeCell ref="I3252:I3253"/>
    <mergeCell ref="J3252:J3253"/>
    <mergeCell ref="K3252:K3253"/>
    <mergeCell ref="L3252:L3253"/>
    <mergeCell ref="M3252:M3253"/>
    <mergeCell ref="H3225:L3225"/>
    <mergeCell ref="H3226:L3226"/>
    <mergeCell ref="H3227:L3227"/>
    <mergeCell ref="H3233:K3233"/>
    <mergeCell ref="H3248:O3248"/>
    <mergeCell ref="H3250:H3251"/>
    <mergeCell ref="I3250:I3251"/>
    <mergeCell ref="J3250:J3251"/>
    <mergeCell ref="K3250:K3251"/>
    <mergeCell ref="L3250:L3251"/>
    <mergeCell ref="H3258:H3259"/>
    <mergeCell ref="I3258:I3259"/>
    <mergeCell ref="J3258:J3259"/>
    <mergeCell ref="K3258:K3259"/>
    <mergeCell ref="L3258:L3259"/>
    <mergeCell ref="M3258:M3259"/>
    <mergeCell ref="H3256:H3257"/>
    <mergeCell ref="I3256:I3257"/>
    <mergeCell ref="J3256:J3257"/>
    <mergeCell ref="K3256:K3257"/>
    <mergeCell ref="L3256:L3257"/>
    <mergeCell ref="M3256:M3257"/>
    <mergeCell ref="H3254:H3255"/>
    <mergeCell ref="I3254:I3255"/>
    <mergeCell ref="J3254:J3255"/>
    <mergeCell ref="K3254:K3255"/>
    <mergeCell ref="L3254:L3255"/>
    <mergeCell ref="M3254:M3255"/>
    <mergeCell ref="M3286:M3287"/>
    <mergeCell ref="N3286:O3286"/>
    <mergeCell ref="H3288:H3289"/>
    <mergeCell ref="I3288:I3289"/>
    <mergeCell ref="J3288:J3291"/>
    <mergeCell ref="K3288:K3289"/>
    <mergeCell ref="L3288:L3289"/>
    <mergeCell ref="M3288:M3289"/>
    <mergeCell ref="H3290:H3291"/>
    <mergeCell ref="I3290:I3291"/>
    <mergeCell ref="H3260:L3260"/>
    <mergeCell ref="H3261:L3261"/>
    <mergeCell ref="H3262:L3262"/>
    <mergeCell ref="H3268:K3268"/>
    <mergeCell ref="H3284:O3284"/>
    <mergeCell ref="H3286:H3287"/>
    <mergeCell ref="I3286:I3287"/>
    <mergeCell ref="J3286:J3287"/>
    <mergeCell ref="K3286:K3287"/>
    <mergeCell ref="L3286:L3287"/>
    <mergeCell ref="H3296:L3296"/>
    <mergeCell ref="H3297:L3297"/>
    <mergeCell ref="H3298:L3298"/>
    <mergeCell ref="H3304:K3304"/>
    <mergeCell ref="H3319:O3319"/>
    <mergeCell ref="H3321:H3322"/>
    <mergeCell ref="I3321:I3322"/>
    <mergeCell ref="J3321:J3322"/>
    <mergeCell ref="K3321:K3322"/>
    <mergeCell ref="L3321:L3322"/>
    <mergeCell ref="H3294:H3295"/>
    <mergeCell ref="I3294:I3295"/>
    <mergeCell ref="J3294:J3295"/>
    <mergeCell ref="K3294:K3295"/>
    <mergeCell ref="L3294:L3295"/>
    <mergeCell ref="M3294:M3295"/>
    <mergeCell ref="K3290:K3291"/>
    <mergeCell ref="L3290:L3291"/>
    <mergeCell ref="M3290:M3291"/>
    <mergeCell ref="H3292:H3293"/>
    <mergeCell ref="I3292:I3293"/>
    <mergeCell ref="J3292:J3293"/>
    <mergeCell ref="K3292:K3293"/>
    <mergeCell ref="L3292:L3293"/>
    <mergeCell ref="M3292:M3293"/>
    <mergeCell ref="H3327:H3328"/>
    <mergeCell ref="I3327:I3328"/>
    <mergeCell ref="J3327:J3328"/>
    <mergeCell ref="K3327:K3328"/>
    <mergeCell ref="L3327:L3328"/>
    <mergeCell ref="M3327:M3328"/>
    <mergeCell ref="H3325:H3326"/>
    <mergeCell ref="I3325:I3326"/>
    <mergeCell ref="J3325:J3326"/>
    <mergeCell ref="K3325:K3326"/>
    <mergeCell ref="L3325:L3326"/>
    <mergeCell ref="M3325:M3326"/>
    <mergeCell ref="M3321:M3322"/>
    <mergeCell ref="N3321:O3321"/>
    <mergeCell ref="H3323:H3324"/>
    <mergeCell ref="I3323:I3324"/>
    <mergeCell ref="J3323:J3324"/>
    <mergeCell ref="K3323:K3324"/>
    <mergeCell ref="L3323:L3324"/>
    <mergeCell ref="M3323:M3324"/>
    <mergeCell ref="H3333:H3334"/>
    <mergeCell ref="I3333:I3334"/>
    <mergeCell ref="J3333:J3334"/>
    <mergeCell ref="K3333:K3334"/>
    <mergeCell ref="L3333:L3334"/>
    <mergeCell ref="M3333:M3334"/>
    <mergeCell ref="H3331:H3332"/>
    <mergeCell ref="I3331:I3332"/>
    <mergeCell ref="J3331:J3332"/>
    <mergeCell ref="K3331:K3332"/>
    <mergeCell ref="L3331:L3332"/>
    <mergeCell ref="M3331:M3332"/>
    <mergeCell ref="H3329:H3330"/>
    <mergeCell ref="I3329:I3330"/>
    <mergeCell ref="J3329:J3330"/>
    <mergeCell ref="K3329:K3330"/>
    <mergeCell ref="L3329:L3330"/>
    <mergeCell ref="M3329:M3330"/>
    <mergeCell ref="M3360:M3361"/>
    <mergeCell ref="N3360:O3360"/>
    <mergeCell ref="H3362:H3363"/>
    <mergeCell ref="I3362:I3363"/>
    <mergeCell ref="J3362:J3363"/>
    <mergeCell ref="K3362:K3363"/>
    <mergeCell ref="L3362:L3363"/>
    <mergeCell ref="M3362:M3363"/>
    <mergeCell ref="H3335:L3335"/>
    <mergeCell ref="H3336:L3336"/>
    <mergeCell ref="H3337:L3337"/>
    <mergeCell ref="H3343:K3343"/>
    <mergeCell ref="H3358:O3358"/>
    <mergeCell ref="H3360:H3361"/>
    <mergeCell ref="I3360:I3361"/>
    <mergeCell ref="J3360:J3361"/>
    <mergeCell ref="K3360:K3361"/>
    <mergeCell ref="L3360:L3361"/>
    <mergeCell ref="H3368:H3369"/>
    <mergeCell ref="I3368:I3369"/>
    <mergeCell ref="J3368:J3369"/>
    <mergeCell ref="K3368:K3369"/>
    <mergeCell ref="L3368:L3369"/>
    <mergeCell ref="M3368:M3369"/>
    <mergeCell ref="H3366:H3367"/>
    <mergeCell ref="I3366:I3367"/>
    <mergeCell ref="J3366:J3367"/>
    <mergeCell ref="K3366:K3367"/>
    <mergeCell ref="L3366:L3367"/>
    <mergeCell ref="M3366:M3367"/>
    <mergeCell ref="H3364:H3365"/>
    <mergeCell ref="I3364:I3365"/>
    <mergeCell ref="J3364:J3365"/>
    <mergeCell ref="K3364:K3365"/>
    <mergeCell ref="L3364:L3365"/>
    <mergeCell ref="M3364:M3365"/>
    <mergeCell ref="M3396:M3397"/>
    <mergeCell ref="N3396:O3396"/>
    <mergeCell ref="H3398:H3399"/>
    <mergeCell ref="I3398:I3399"/>
    <mergeCell ref="J3398:J3399"/>
    <mergeCell ref="K3398:K3399"/>
    <mergeCell ref="L3398:L3399"/>
    <mergeCell ref="M3398:M3399"/>
    <mergeCell ref="H3370:L3370"/>
    <mergeCell ref="H3371:L3371"/>
    <mergeCell ref="H3372:L3372"/>
    <mergeCell ref="H3378:K3378"/>
    <mergeCell ref="H3394:O3394"/>
    <mergeCell ref="H3396:H3397"/>
    <mergeCell ref="I3396:I3397"/>
    <mergeCell ref="J3396:J3397"/>
    <mergeCell ref="K3396:K3397"/>
    <mergeCell ref="L3396:L3397"/>
    <mergeCell ref="H3404:H3405"/>
    <mergeCell ref="I3404:I3405"/>
    <mergeCell ref="J3404:J3405"/>
    <mergeCell ref="K3404:K3405"/>
    <mergeCell ref="L3404:L3405"/>
    <mergeCell ref="M3404:M3405"/>
    <mergeCell ref="H3402:H3403"/>
    <mergeCell ref="I3402:I3403"/>
    <mergeCell ref="J3402:J3403"/>
    <mergeCell ref="K3402:K3403"/>
    <mergeCell ref="L3402:L3403"/>
    <mergeCell ref="M3402:M3403"/>
    <mergeCell ref="H3400:H3401"/>
    <mergeCell ref="I3400:I3401"/>
    <mergeCell ref="J3400:J3401"/>
    <mergeCell ref="K3400:K3401"/>
    <mergeCell ref="L3400:L3401"/>
    <mergeCell ref="M3400:M3401"/>
    <mergeCell ref="M3432:M3433"/>
    <mergeCell ref="N3432:O3432"/>
    <mergeCell ref="H3434:H3435"/>
    <mergeCell ref="I3434:I3435"/>
    <mergeCell ref="K3434:K3435"/>
    <mergeCell ref="L3434:L3435"/>
    <mergeCell ref="M3434:M3435"/>
    <mergeCell ref="H3406:L3406"/>
    <mergeCell ref="H3407:L3407"/>
    <mergeCell ref="H3408:L3408"/>
    <mergeCell ref="H3414:K3414"/>
    <mergeCell ref="H3430:O3430"/>
    <mergeCell ref="H3432:H3433"/>
    <mergeCell ref="I3432:I3433"/>
    <mergeCell ref="J3432:J3433"/>
    <mergeCell ref="K3432:K3433"/>
    <mergeCell ref="L3432:L3433"/>
    <mergeCell ref="H3444:H3445"/>
    <mergeCell ref="I3444:I3445"/>
    <mergeCell ref="K3444:K3445"/>
    <mergeCell ref="L3444:L3445"/>
    <mergeCell ref="M3444:M3445"/>
    <mergeCell ref="H3446:L3446"/>
    <mergeCell ref="H3440:H3441"/>
    <mergeCell ref="I3440:I3441"/>
    <mergeCell ref="K3440:K3441"/>
    <mergeCell ref="L3440:L3441"/>
    <mergeCell ref="M3440:M3441"/>
    <mergeCell ref="H3442:H3443"/>
    <mergeCell ref="I3442:I3443"/>
    <mergeCell ref="K3442:K3443"/>
    <mergeCell ref="L3442:L3443"/>
    <mergeCell ref="M3442:M3443"/>
    <mergeCell ref="H3436:H3437"/>
    <mergeCell ref="I3436:I3437"/>
    <mergeCell ref="K3436:K3437"/>
    <mergeCell ref="L3436:L3437"/>
    <mergeCell ref="M3436:M3437"/>
    <mergeCell ref="H3438:H3439"/>
    <mergeCell ref="I3438:I3439"/>
    <mergeCell ref="K3438:K3439"/>
    <mergeCell ref="L3438:L3439"/>
    <mergeCell ref="M3438:M3439"/>
    <mergeCell ref="N3471:O3471"/>
    <mergeCell ref="H3473:H3474"/>
    <mergeCell ref="I3473:I3474"/>
    <mergeCell ref="J3473:J3474"/>
    <mergeCell ref="K3473:K3474"/>
    <mergeCell ref="L3473:L3474"/>
    <mergeCell ref="M3473:M3474"/>
    <mergeCell ref="H3447:L3447"/>
    <mergeCell ref="H3448:L3448"/>
    <mergeCell ref="H3454:K3454"/>
    <mergeCell ref="H3469:O3469"/>
    <mergeCell ref="H3471:H3472"/>
    <mergeCell ref="I3471:I3472"/>
    <mergeCell ref="J3471:J3472"/>
    <mergeCell ref="K3471:K3472"/>
    <mergeCell ref="L3471:L3472"/>
    <mergeCell ref="M3471:M3472"/>
    <mergeCell ref="H3479:H3480"/>
    <mergeCell ref="I3479:I3480"/>
    <mergeCell ref="J3479:J3480"/>
    <mergeCell ref="K3479:K3480"/>
    <mergeCell ref="L3479:L3480"/>
    <mergeCell ref="M3479:M3480"/>
    <mergeCell ref="H3477:H3478"/>
    <mergeCell ref="I3477:I3478"/>
    <mergeCell ref="J3477:J3478"/>
    <mergeCell ref="K3477:K3478"/>
    <mergeCell ref="L3477:L3478"/>
    <mergeCell ref="M3477:M3478"/>
    <mergeCell ref="H3475:H3476"/>
    <mergeCell ref="I3475:I3476"/>
    <mergeCell ref="J3475:J3476"/>
    <mergeCell ref="K3475:K3476"/>
    <mergeCell ref="L3475:L3476"/>
    <mergeCell ref="M3475:M3476"/>
    <mergeCell ref="M3507:M3508"/>
    <mergeCell ref="N3507:O3507"/>
    <mergeCell ref="H3509:H3510"/>
    <mergeCell ref="I3509:I3510"/>
    <mergeCell ref="J3509:J3512"/>
    <mergeCell ref="K3509:K3510"/>
    <mergeCell ref="L3509:L3510"/>
    <mergeCell ref="M3509:M3510"/>
    <mergeCell ref="H3511:H3512"/>
    <mergeCell ref="I3511:I3512"/>
    <mergeCell ref="H3481:L3481"/>
    <mergeCell ref="H3482:L3482"/>
    <mergeCell ref="H3483:L3483"/>
    <mergeCell ref="H3489:K3489"/>
    <mergeCell ref="H3505:O3505"/>
    <mergeCell ref="H3507:H3508"/>
    <mergeCell ref="I3507:I3508"/>
    <mergeCell ref="J3507:J3508"/>
    <mergeCell ref="K3507:K3508"/>
    <mergeCell ref="L3507:L3508"/>
    <mergeCell ref="H3521:L3521"/>
    <mergeCell ref="H3522:L3522"/>
    <mergeCell ref="H3523:L3523"/>
    <mergeCell ref="H3529:K3529"/>
    <mergeCell ref="H3545:O3545"/>
    <mergeCell ref="H3547:H3548"/>
    <mergeCell ref="I3547:I3548"/>
    <mergeCell ref="J3547:J3548"/>
    <mergeCell ref="K3547:K3548"/>
    <mergeCell ref="L3547:L3548"/>
    <mergeCell ref="H3519:H3520"/>
    <mergeCell ref="I3519:I3520"/>
    <mergeCell ref="J3519:J3520"/>
    <mergeCell ref="K3519:K3520"/>
    <mergeCell ref="L3519:L3520"/>
    <mergeCell ref="M3519:M3520"/>
    <mergeCell ref="K3511:K3512"/>
    <mergeCell ref="L3511:L3512"/>
    <mergeCell ref="M3511:M3512"/>
    <mergeCell ref="H3517:H3518"/>
    <mergeCell ref="I3517:I3518"/>
    <mergeCell ref="J3517:J3518"/>
    <mergeCell ref="K3517:K3518"/>
    <mergeCell ref="L3517:L3518"/>
    <mergeCell ref="M3517:M3518"/>
    <mergeCell ref="H3567:H3568"/>
    <mergeCell ref="I3567:I3568"/>
    <mergeCell ref="J3567:J3568"/>
    <mergeCell ref="K3567:K3568"/>
    <mergeCell ref="L3567:L3568"/>
    <mergeCell ref="M3567:M3568"/>
    <mergeCell ref="K3551:K3552"/>
    <mergeCell ref="L3551:L3552"/>
    <mergeCell ref="M3551:M3552"/>
    <mergeCell ref="H3565:H3566"/>
    <mergeCell ref="I3565:I3566"/>
    <mergeCell ref="J3565:J3566"/>
    <mergeCell ref="K3565:K3566"/>
    <mergeCell ref="L3565:L3566"/>
    <mergeCell ref="M3565:M3566"/>
    <mergeCell ref="M3547:M3548"/>
    <mergeCell ref="N3547:O3547"/>
    <mergeCell ref="H3549:H3550"/>
    <mergeCell ref="I3549:I3550"/>
    <mergeCell ref="J3549:J3552"/>
    <mergeCell ref="K3549:K3550"/>
    <mergeCell ref="L3549:L3550"/>
    <mergeCell ref="M3549:M3550"/>
    <mergeCell ref="H3551:H3552"/>
    <mergeCell ref="I3551:I3552"/>
    <mergeCell ref="M3594:M3595"/>
    <mergeCell ref="N3594:O3594"/>
    <mergeCell ref="H3596:H3597"/>
    <mergeCell ref="I3596:I3597"/>
    <mergeCell ref="J3596:J3597"/>
    <mergeCell ref="K3596:K3597"/>
    <mergeCell ref="L3596:L3597"/>
    <mergeCell ref="M3596:M3597"/>
    <mergeCell ref="H3569:L3569"/>
    <mergeCell ref="H3570:L3570"/>
    <mergeCell ref="H3571:L3571"/>
    <mergeCell ref="H3577:K3577"/>
    <mergeCell ref="H3592:O3592"/>
    <mergeCell ref="H3594:H3595"/>
    <mergeCell ref="I3594:I3595"/>
    <mergeCell ref="J3594:J3595"/>
    <mergeCell ref="K3594:K3595"/>
    <mergeCell ref="L3594:L3595"/>
    <mergeCell ref="H3602:L3602"/>
    <mergeCell ref="H3603:L3603"/>
    <mergeCell ref="H3604:L3604"/>
    <mergeCell ref="H3610:K3610"/>
    <mergeCell ref="M3614:N3614"/>
    <mergeCell ref="H3600:H3601"/>
    <mergeCell ref="I3600:I3601"/>
    <mergeCell ref="J3600:J3601"/>
    <mergeCell ref="K3600:K3601"/>
    <mergeCell ref="L3600:L3601"/>
    <mergeCell ref="M3600:M3601"/>
    <mergeCell ref="H3598:H3599"/>
    <mergeCell ref="I3598:I3599"/>
    <mergeCell ref="J3598:J3599"/>
    <mergeCell ref="K3598:K3599"/>
    <mergeCell ref="L3598:L3599"/>
    <mergeCell ref="M3598:M35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Bandes</vt:lpstr>
      <vt:lpstr>Conventions</vt:lpstr>
      <vt:lpstr>Recap</vt:lpstr>
      <vt:lpstr>Bandes!Zone_d_impression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xxx</cp:lastModifiedBy>
  <cp:lastPrinted>2026-02-10T08:07:08Z</cp:lastPrinted>
  <dcterms:created xsi:type="dcterms:W3CDTF">2026-02-04T06:58:41Z</dcterms:created>
  <dcterms:modified xsi:type="dcterms:W3CDTF">2026-02-10T08:08:06Z</dcterms:modified>
</cp:coreProperties>
</file>